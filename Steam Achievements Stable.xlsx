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\Documents\My Projects\My Skill Development\game-achievement-data\public\"/>
    </mc:Choice>
  </mc:AlternateContent>
  <xr:revisionPtr revIDLastSave="0" documentId="13_ncr:1_{28D8BBB1-CB37-454A-9805-8D81D3E1947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2" sheetId="3" r:id="rId1"/>
    <sheet name="Data" sheetId="1" r:id="rId2"/>
    <sheet name="Games" sheetId="4" r:id="rId3"/>
    <sheet name="Markers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8" i="1" l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A16" i="4"/>
  <c r="D16" i="4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A15" i="4"/>
  <c r="A14" i="4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A13" i="4"/>
  <c r="A12" i="4"/>
  <c r="A11" i="4"/>
  <c r="A10" i="4"/>
  <c r="A9" i="4"/>
  <c r="A8" i="4"/>
  <c r="A7" i="4"/>
  <c r="A6" i="4"/>
  <c r="A5" i="4"/>
  <c r="A4" i="4"/>
  <c r="A3" i="4"/>
  <c r="A2" i="4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</calcChain>
</file>

<file path=xl/sharedStrings.xml><?xml version="1.0" encoding="utf-8"?>
<sst xmlns="http://schemas.openxmlformats.org/spreadsheetml/2006/main" count="3131" uniqueCount="1555">
  <si>
    <t>Game</t>
  </si>
  <si>
    <t>Name</t>
  </si>
  <si>
    <t>Description</t>
  </si>
  <si>
    <t>Percent</t>
  </si>
  <si>
    <t>Image_Link</t>
  </si>
  <si>
    <t>Black Myth Wukong</t>
  </si>
  <si>
    <t>Lies of P</t>
  </si>
  <si>
    <t>Elden Ring</t>
  </si>
  <si>
    <t>Sekiro: Shadows Die Twice</t>
  </si>
  <si>
    <t>Elden Ring Nightreign</t>
  </si>
  <si>
    <t>Hollow Knight Silksong</t>
  </si>
  <si>
    <t>Hollow Knight</t>
  </si>
  <si>
    <t>Sifu</t>
  </si>
  <si>
    <t>Hades</t>
  </si>
  <si>
    <t>Hades II</t>
  </si>
  <si>
    <t>Home is Behind</t>
  </si>
  <si>
    <t>Warring with Wolves</t>
  </si>
  <si>
    <t>Hammer and Hew</t>
  </si>
  <si>
    <t>Absorb and Cultivate</t>
  </si>
  <si>
    <t>Brew of Bravery</t>
  </si>
  <si>
    <t>Slithering Snake</t>
  </si>
  <si>
    <t>Handy and Hardy</t>
  </si>
  <si>
    <t>Blazing Black Wind</t>
  </si>
  <si>
    <t>Enduring Echoes</t>
  </si>
  <si>
    <t>Temple of Taint</t>
  </si>
  <si>
    <t>Cursed Clan</t>
  </si>
  <si>
    <t>The Stone's Secret</t>
  </si>
  <si>
    <t>Creative Concoction</t>
  </si>
  <si>
    <t>A Great Gust</t>
  </si>
  <si>
    <t>Voice Vanquished</t>
  </si>
  <si>
    <t>Gleams of Gold</t>
  </si>
  <si>
    <t>Shifting Sands</t>
  </si>
  <si>
    <t>Karma of Kang-Jin</t>
  </si>
  <si>
    <t>Death in Despair</t>
  </si>
  <si>
    <t>Cage of Claws</t>
  </si>
  <si>
    <t>Precious Pills</t>
  </si>
  <si>
    <t>Sound in Stone</t>
  </si>
  <si>
    <t>Oṃ Maṇi Padme Hūm</t>
  </si>
  <si>
    <t>Matches with the Macaque</t>
  </si>
  <si>
    <t>Nifty Nonsense</t>
  </si>
  <si>
    <t>Mud on His Face</t>
  </si>
  <si>
    <t>Boundless Bitterness</t>
  </si>
  <si>
    <t>Secret in the Scroll</t>
  </si>
  <si>
    <t>Buried in the Sand</t>
  </si>
  <si>
    <t>Gnashing Grudge</t>
  </si>
  <si>
    <t>The Tiger Family</t>
  </si>
  <si>
    <t>Passion Passes</t>
  </si>
  <si>
    <t>Marvelous Melon</t>
  </si>
  <si>
    <t>Behold the Betrayal</t>
  </si>
  <si>
    <t>The Soaring Slash</t>
  </si>
  <si>
    <t>Shell and Scales</t>
  </si>
  <si>
    <t>The Furnace Boy</t>
  </si>
  <si>
    <t>Secret in Purple Cloud</t>
  </si>
  <si>
    <t>Flaming Fury</t>
  </si>
  <si>
    <t>The Cockerel Crowed</t>
  </si>
  <si>
    <t>Happy Harvest</t>
  </si>
  <si>
    <t>The Cloud Claimed</t>
  </si>
  <si>
    <t>Corrupted Captains</t>
  </si>
  <si>
    <t>The Loong Pattern</t>
  </si>
  <si>
    <t>Guardian of Gear</t>
  </si>
  <si>
    <t>Pound and Perfect</t>
  </si>
  <si>
    <t>Thousand-Mile Quest</t>
  </si>
  <si>
    <t>Treasure Trove</t>
  </si>
  <si>
    <t>A Duel of Destiny</t>
  </si>
  <si>
    <t>Devoted Disciples</t>
  </si>
  <si>
    <t>A Willing Warrior</t>
  </si>
  <si>
    <t>Three Teams of Two</t>
  </si>
  <si>
    <t>Frost and Flame</t>
  </si>
  <si>
    <t>Misfit with Merit</t>
  </si>
  <si>
    <t>The Wayward Ways</t>
  </si>
  <si>
    <t>Lust and Dust</t>
  </si>
  <si>
    <t>Mei of Memory</t>
  </si>
  <si>
    <t>Meet the Match</t>
  </si>
  <si>
    <t>Six Senses Secured</t>
  </si>
  <si>
    <t>A Family Finished</t>
  </si>
  <si>
    <t>Master of Magic</t>
  </si>
  <si>
    <t>The Five Skandhas</t>
  </si>
  <si>
    <t>Always Accompanied</t>
  </si>
  <si>
    <t>The Clamor of Frogs</t>
  </si>
  <si>
    <t>Urge Unfulfilled</t>
  </si>
  <si>
    <t>Souls in the Stalks</t>
  </si>
  <si>
    <t>Treaded Tracks</t>
  </si>
  <si>
    <t>Medicine Meal</t>
  </si>
  <si>
    <t>Brews and Barrels</t>
  </si>
  <si>
    <t>Full of Forms</t>
  </si>
  <si>
    <t>Scenic Seeker</t>
  </si>
  <si>
    <t>Portraits Perfected</t>
  </si>
  <si>
    <t>Page Preserver</t>
  </si>
  <si>
    <t>Gourds Gathered</t>
  </si>
  <si>
    <t>Staffs and Spears</t>
  </si>
  <si>
    <t>With Full Spirit</t>
  </si>
  <si>
    <t>Seeds to Sow</t>
  </si>
  <si>
    <t>A Curious Collection</t>
  </si>
  <si>
    <t>Brewer's Bounty</t>
  </si>
  <si>
    <t>Mantled with Might</t>
  </si>
  <si>
    <t>Final Fulfillment</t>
  </si>
  <si>
    <t>Fatal Blow</t>
  </si>
  <si>
    <t>Stargazer’s Guide</t>
  </si>
  <si>
    <t>Parade Master</t>
  </si>
  <si>
    <t>First Lie</t>
  </si>
  <si>
    <t>The Ultimate Defense Technique</t>
  </si>
  <si>
    <t>The Bastards and the Sweepers</t>
  </si>
  <si>
    <t>Scrapped Watchman</t>
  </si>
  <si>
    <t>King's Flame</t>
  </si>
  <si>
    <t>Exploring Possibilities</t>
  </si>
  <si>
    <t>Fallen Archbishop</t>
  </si>
  <si>
    <t>The Delayed Match</t>
  </si>
  <si>
    <t>Bear Gold Coin Fruit</t>
  </si>
  <si>
    <t>King of Puppets</t>
  </si>
  <si>
    <t>From Across the Rift</t>
  </si>
  <si>
    <t>The Champion of Evolution</t>
  </si>
  <si>
    <t>Puppet-Devouring Green Monster</t>
  </si>
  <si>
    <t>Corrupted Parade Master</t>
  </si>
  <si>
    <t>Strongest Legion Arm</t>
  </si>
  <si>
    <t>Revenge of Black</t>
  </si>
  <si>
    <t>Extreme Potential</t>
  </si>
  <si>
    <t>The Complete One</t>
  </si>
  <si>
    <t>The Awakened God</t>
  </si>
  <si>
    <t>The Story of the One Who Dreamed</t>
  </si>
  <si>
    <t>Strongest Normal Weapon</t>
  </si>
  <si>
    <t>Strongest Special Weapon</t>
  </si>
  <si>
    <t>The First Puppet</t>
  </si>
  <si>
    <t>The Story of the Refined Old Lady</t>
  </si>
  <si>
    <t>Legion Arm Collector</t>
  </si>
  <si>
    <t>Rise of P</t>
  </si>
  <si>
    <t>End of Riddles</t>
  </si>
  <si>
    <t>The Story of the Prince</t>
  </si>
  <si>
    <t>Pianist of Krat</t>
  </si>
  <si>
    <t>The Story of a Stranger Girl</t>
  </si>
  <si>
    <t>Free from the puppet string</t>
  </si>
  <si>
    <t>The Story of the Blue Butterfly</t>
  </si>
  <si>
    <t>Puppeteer of Death</t>
  </si>
  <si>
    <t>Learning about Emotions</t>
  </si>
  <si>
    <t>Veteran Explorer</t>
  </si>
  <si>
    <t>Anguished Guardian</t>
  </si>
  <si>
    <t>Honor and Revenge</t>
  </si>
  <si>
    <t>Real boy : They all lived happily ever after</t>
  </si>
  <si>
    <t>The Blood Artist</t>
  </si>
  <si>
    <t>The Rose's Memory</t>
  </si>
  <si>
    <t>Beyond Limitless Potential</t>
  </si>
  <si>
    <t>Enduring Resolve</t>
  </si>
  <si>
    <t>Normal Weapon Collector</t>
  </si>
  <si>
    <t>Tracker of Dark Secrets</t>
  </si>
  <si>
    <t>Special Weapon Collector</t>
  </si>
  <si>
    <t>The Story of One Father</t>
  </si>
  <si>
    <t>Golden Melody</t>
  </si>
  <si>
    <t>To Be Human</t>
  </si>
  <si>
    <t>True Combat Gear Collector</t>
  </si>
  <si>
    <t>Memory's Melody</t>
  </si>
  <si>
    <t>Roundtable Hold</t>
  </si>
  <si>
    <t>Margit, the Fell Omen</t>
  </si>
  <si>
    <t>Shardbearer Godrick</t>
  </si>
  <si>
    <t>Great Rune</t>
  </si>
  <si>
    <t>Red Wolf of Radagon</t>
  </si>
  <si>
    <t>Rennala, Queen of the Full Moon</t>
  </si>
  <si>
    <t>Leonine Misbegotten</t>
  </si>
  <si>
    <t>Royal Knight Loretta</t>
  </si>
  <si>
    <t>Shardbearer Radahn</t>
  </si>
  <si>
    <t>Mimic Tear</t>
  </si>
  <si>
    <t>Godfrey, First Elden Lord</t>
  </si>
  <si>
    <t>Shardbearer Morgott</t>
  </si>
  <si>
    <t>Magma Wyrm Makar</t>
  </si>
  <si>
    <t>God-Slaying Armament</t>
  </si>
  <si>
    <t>Fire Giant</t>
  </si>
  <si>
    <t>Erdtree Aflame</t>
  </si>
  <si>
    <t>Commander Niall</t>
  </si>
  <si>
    <t>Shardbearer Rykard</t>
  </si>
  <si>
    <t>Astel, Naturalborn of the Void</t>
  </si>
  <si>
    <t>Godskin Duo</t>
  </si>
  <si>
    <t>Godskin Noble</t>
  </si>
  <si>
    <t>Ancestor Spirit</t>
  </si>
  <si>
    <t>Maliketh the Black Blade</t>
  </si>
  <si>
    <t>Shardbearer Mohg</t>
  </si>
  <si>
    <t>Hoarah Loux, Warrior</t>
  </si>
  <si>
    <t>Valiant Gargoyles</t>
  </si>
  <si>
    <t>Loretta, Knight of the Haligtree</t>
  </si>
  <si>
    <t>Elemer of the Briar</t>
  </si>
  <si>
    <t>Dragonkin Soldier of Nokstella</t>
  </si>
  <si>
    <t>Regal Ancestor Spirit</t>
  </si>
  <si>
    <t>Shardbearer Malenia</t>
  </si>
  <si>
    <t>Mohg, the Omen</t>
  </si>
  <si>
    <t>Dragonlord Placidusax</t>
  </si>
  <si>
    <t>Lichdragon Fortissax</t>
  </si>
  <si>
    <t>Age of the Stars</t>
  </si>
  <si>
    <t>Elden Lord</t>
  </si>
  <si>
    <t>Legendary Armaments</t>
  </si>
  <si>
    <t>Legendary Talismans</t>
  </si>
  <si>
    <t>Legendary Ashen Remains</t>
  </si>
  <si>
    <t>Legendary Sorceries and Incantations</t>
  </si>
  <si>
    <t>Lord of Frenzied Flame</t>
  </si>
  <si>
    <t>Revered Blade</t>
  </si>
  <si>
    <t>Shinobi Prosthetic</t>
  </si>
  <si>
    <t>Resurrection</t>
  </si>
  <si>
    <t>Memorial Mob</t>
  </si>
  <si>
    <t>Gyoubu Masataka Oniwa</t>
  </si>
  <si>
    <t>The Phantom Lady Butterfly</t>
  </si>
  <si>
    <t>Genichiro Ashina</t>
  </si>
  <si>
    <t>Folding Screen Monkeys</t>
  </si>
  <si>
    <t>Guardian Ape</t>
  </si>
  <si>
    <t>Master of the Arts</t>
  </si>
  <si>
    <t>Great Shinobi - Owl</t>
  </si>
  <si>
    <t>Ashina Traveler</t>
  </si>
  <si>
    <t>Corrupted Monk</t>
  </si>
  <si>
    <t>Gracious Gift of Tears</t>
  </si>
  <si>
    <t>Guardian Ape Immortality Severed</t>
  </si>
  <si>
    <t>All Ninjutsu Techniques</t>
  </si>
  <si>
    <t>Great Serpent</t>
  </si>
  <si>
    <t>Sword Saint, Isshin Ashina</t>
  </si>
  <si>
    <t>All Prosthetic Tools</t>
  </si>
  <si>
    <t>Ultimate Healing Gourd</t>
  </si>
  <si>
    <t>Demon of Hatred</t>
  </si>
  <si>
    <t>Immortal Severance</t>
  </si>
  <si>
    <t>Great Colored Carp</t>
  </si>
  <si>
    <t>Father Surpassed</t>
  </si>
  <si>
    <t>Peak Physical Strength</t>
  </si>
  <si>
    <t>Lazuline Upgrade</t>
  </si>
  <si>
    <t>Isshin Ashina</t>
  </si>
  <si>
    <t>Shura</t>
  </si>
  <si>
    <t>Dragon's Homecoming</t>
  </si>
  <si>
    <t>Purification</t>
  </si>
  <si>
    <t>Man Without Equal</t>
  </si>
  <si>
    <t>Height of Technique</t>
  </si>
  <si>
    <t>Master of the Prosthetic</t>
  </si>
  <si>
    <t>Sekiro</t>
  </si>
  <si>
    <t>The Shrouded Roundtable Hold</t>
  </si>
  <si>
    <t>Relic</t>
  </si>
  <si>
    <t>Untold Power</t>
  </si>
  <si>
    <t>The Nightlords</t>
  </si>
  <si>
    <t>Tricephalos</t>
  </si>
  <si>
    <t>The Duchess Joins the Fray</t>
  </si>
  <si>
    <t>Legendary Armament</t>
  </si>
  <si>
    <t>Replenished Sacred Flasks</t>
  </si>
  <si>
    <t>Gaping Jaw</t>
  </si>
  <si>
    <t>Vessel</t>
  </si>
  <si>
    <t>Sentient Pest</t>
  </si>
  <si>
    <t>Night Begins</t>
  </si>
  <si>
    <t>Mastery</t>
  </si>
  <si>
    <t>Augur</t>
  </si>
  <si>
    <t>The Revenant Joins the Fray</t>
  </si>
  <si>
    <t>Fell Omen</t>
  </si>
  <si>
    <t>Equilibrious Beast</t>
  </si>
  <si>
    <t>Darkdrift Knight</t>
  </si>
  <si>
    <t>Fissure in the Fog</t>
  </si>
  <si>
    <t>Dresser</t>
  </si>
  <si>
    <t>Typhoon</t>
  </si>
  <si>
    <t>The Crater</t>
  </si>
  <si>
    <t>Mountaintop</t>
  </si>
  <si>
    <t>Rotted Woods</t>
  </si>
  <si>
    <t>Old Gaol</t>
  </si>
  <si>
    <t>Night Aspect</t>
  </si>
  <si>
    <t>True Arbiter</t>
  </si>
  <si>
    <t>Dawn</t>
  </si>
  <si>
    <t>Nightlord Conqueror</t>
  </si>
  <si>
    <t>Plague of Locusts</t>
  </si>
  <si>
    <t>Nightlord Slayer</t>
  </si>
  <si>
    <t>Noklateo, the Shrouded City</t>
  </si>
  <si>
    <t>Set and Steadfast</t>
  </si>
  <si>
    <t>Shifting Earth</t>
  </si>
  <si>
    <t>Obtained Vessels</t>
  </si>
  <si>
    <t>A Champion's Path</t>
  </si>
  <si>
    <t>Nightreign</t>
  </si>
  <si>
    <t>Equipped</t>
  </si>
  <si>
    <t>Bound</t>
  </si>
  <si>
    <t>Liberated</t>
  </si>
  <si>
    <t>Granted</t>
  </si>
  <si>
    <t>Pharloom's Welcome</t>
  </si>
  <si>
    <t>Servant</t>
  </si>
  <si>
    <t>Claimed</t>
  </si>
  <si>
    <t>Restored</t>
  </si>
  <si>
    <t>Fanatic</t>
  </si>
  <si>
    <t>Protected</t>
  </si>
  <si>
    <t>Judge</t>
  </si>
  <si>
    <t>Last Dance</t>
  </si>
  <si>
    <t>Keen Hunter</t>
  </si>
  <si>
    <t>Tragedian</t>
  </si>
  <si>
    <t>Flea Finder</t>
  </si>
  <si>
    <t>Harmonious</t>
  </si>
  <si>
    <t>Grey Ghost</t>
  </si>
  <si>
    <t>Resident</t>
  </si>
  <si>
    <t>White Knight</t>
  </si>
  <si>
    <t>Transported</t>
  </si>
  <si>
    <t>Connected</t>
  </si>
  <si>
    <t>Glutton</t>
  </si>
  <si>
    <t>Trail's End</t>
  </si>
  <si>
    <t>Weaver Queen</t>
  </si>
  <si>
    <t>Heretic</t>
  </si>
  <si>
    <t>Snared Silk</t>
  </si>
  <si>
    <t>Bonded</t>
  </si>
  <si>
    <t>Fleafriend</t>
  </si>
  <si>
    <t>Regenerated</t>
  </si>
  <si>
    <t>Tyrant</t>
  </si>
  <si>
    <t>Seed</t>
  </si>
  <si>
    <t>Diva</t>
  </si>
  <si>
    <t>Remembrance</t>
  </si>
  <si>
    <t>Fatal Resolve</t>
  </si>
  <si>
    <t>Consumed</t>
  </si>
  <si>
    <t>Hero's Call</t>
  </si>
  <si>
    <t>Woven</t>
  </si>
  <si>
    <t>Sister of the Void</t>
  </si>
  <si>
    <t>Cartographer</t>
  </si>
  <si>
    <t>Lamenter</t>
  </si>
  <si>
    <t>Entwined</t>
  </si>
  <si>
    <t>Extended</t>
  </si>
  <si>
    <t>Masked</t>
  </si>
  <si>
    <t>Arsenal</t>
  </si>
  <si>
    <t>Passing of the Age</t>
  </si>
  <si>
    <t>Twisted Child</t>
  </si>
  <si>
    <t>Completion</t>
  </si>
  <si>
    <t>True Hunter</t>
  </si>
  <si>
    <t>Speedrunner</t>
  </si>
  <si>
    <t>Speed Completion</t>
  </si>
  <si>
    <t>Steel Soul</t>
  </si>
  <si>
    <t>Steel Heart</t>
  </si>
  <si>
    <t>Charmed</t>
  </si>
  <si>
    <t>Falsehood</t>
  </si>
  <si>
    <t>Test of Resolve</t>
  </si>
  <si>
    <t>Connection</t>
  </si>
  <si>
    <t>Illumination</t>
  </si>
  <si>
    <t>Respect</t>
  </si>
  <si>
    <t>Soulful</t>
  </si>
  <si>
    <t>Honour</t>
  </si>
  <si>
    <t>Release</t>
  </si>
  <si>
    <t>Enchanted</t>
  </si>
  <si>
    <t>Beast</t>
  </si>
  <si>
    <t>Proof of Resolve</t>
  </si>
  <si>
    <t>Grubfriend</t>
  </si>
  <si>
    <t>Attunement</t>
  </si>
  <si>
    <t>Teacher</t>
  </si>
  <si>
    <t>Warrior</t>
  </si>
  <si>
    <t>Watcher</t>
  </si>
  <si>
    <t>Conqueror</t>
  </si>
  <si>
    <t>Execution</t>
  </si>
  <si>
    <t>Hope</t>
  </si>
  <si>
    <t>Obsession</t>
  </si>
  <si>
    <t>Peace</t>
  </si>
  <si>
    <t>Awakening</t>
  </si>
  <si>
    <t>Rivalry</t>
  </si>
  <si>
    <t>Grand Performance</t>
  </si>
  <si>
    <t>Strength</t>
  </si>
  <si>
    <t>Metamorphosis</t>
  </si>
  <si>
    <t>Void</t>
  </si>
  <si>
    <t>Worldsoul</t>
  </si>
  <si>
    <t>Witness</t>
  </si>
  <si>
    <t>The Hollow Knight</t>
  </si>
  <si>
    <t>Mortality</t>
  </si>
  <si>
    <t>Dark Romance</t>
  </si>
  <si>
    <t>Solace</t>
  </si>
  <si>
    <t>Fool</t>
  </si>
  <si>
    <t>Ascension</t>
  </si>
  <si>
    <t>Dream No More</t>
  </si>
  <si>
    <t>Blessed</t>
  </si>
  <si>
    <t>Memory</t>
  </si>
  <si>
    <t>Sealed Siblings</t>
  </si>
  <si>
    <t>Purity</t>
  </si>
  <si>
    <t>Brotherhood</t>
  </si>
  <si>
    <t>Inspiration</t>
  </si>
  <si>
    <t>Ritual</t>
  </si>
  <si>
    <t>Focus</t>
  </si>
  <si>
    <t>Happy Couple</t>
  </si>
  <si>
    <t>Soul &amp; Shade</t>
  </si>
  <si>
    <t>Banishment</t>
  </si>
  <si>
    <t>Neglect</t>
  </si>
  <si>
    <t>Pure Completion</t>
  </si>
  <si>
    <t>Speedrun 1</t>
  </si>
  <si>
    <t>Embrace the Void</t>
  </si>
  <si>
    <t>Speedrun 2</t>
  </si>
  <si>
    <t>The Old Grandmaster</t>
  </si>
  <si>
    <t>Life is your teacher</t>
  </si>
  <si>
    <t>Lightning Hands</t>
  </si>
  <si>
    <t>The Assault</t>
  </si>
  <si>
    <t>Old Child</t>
  </si>
  <si>
    <t>Stuntmaster</t>
  </si>
  <si>
    <t>State of constant learning</t>
  </si>
  <si>
    <t>The Hateful Pole Fighter</t>
  </si>
  <si>
    <t>Street Fighting</t>
  </si>
  <si>
    <t>Qi Gong: Essence</t>
  </si>
  <si>
    <t>I know Kung-Fu</t>
  </si>
  <si>
    <t>Rumble in the Hangar</t>
  </si>
  <si>
    <t>A Lady's Blood in the Snow</t>
  </si>
  <si>
    <t>Qi Gong: Breath</t>
  </si>
  <si>
    <t>Kill Nil</t>
  </si>
  <si>
    <t>Path of the Prospect</t>
  </si>
  <si>
    <t>Lady Wing Chun</t>
  </si>
  <si>
    <t>Dance of the Praying Mantis</t>
  </si>
  <si>
    <t>Take damage to save time</t>
  </si>
  <si>
    <t>Furious Fists</t>
  </si>
  <si>
    <t>Qi Gong: Mind</t>
  </si>
  <si>
    <t>Kung-Fu Tussle</t>
  </si>
  <si>
    <t>Scareless</t>
  </si>
  <si>
    <t>Diligence as a goal</t>
  </si>
  <si>
    <t>Muk Yan Master</t>
  </si>
  <si>
    <t>Tiger on Fire</t>
  </si>
  <si>
    <t>Detective Story</t>
  </si>
  <si>
    <t>Source of Flying Daggers</t>
  </si>
  <si>
    <t>Iron Money</t>
  </si>
  <si>
    <t>Project Arena</t>
  </si>
  <si>
    <t>Legendary Talismans of Wuxing</t>
  </si>
  <si>
    <t>Sword Stained With Blood</t>
  </si>
  <si>
    <t>The 36th Chamber of Kung-Fu</t>
  </si>
  <si>
    <t>The Pit Protector</t>
  </si>
  <si>
    <t>Prodigal Child</t>
  </si>
  <si>
    <t>Come Snap With Me</t>
  </si>
  <si>
    <t>Knowledge Greed</t>
  </si>
  <si>
    <t>Drunken Fighter</t>
  </si>
  <si>
    <t>Martial Artist</t>
  </si>
  <si>
    <t>Be like water my friend</t>
  </si>
  <si>
    <t>Ferocity, speed, strength, accuracy</t>
  </si>
  <si>
    <t>Bloody Sport</t>
  </si>
  <si>
    <t>Healing Memory</t>
  </si>
  <si>
    <t>The best strikes are the ones we avoid</t>
  </si>
  <si>
    <t>Fight the way you practice</t>
  </si>
  <si>
    <t>Master of the Phoenix Eye Fist</t>
  </si>
  <si>
    <t>Martial Hub</t>
  </si>
  <si>
    <t>Deadly Venom</t>
  </si>
  <si>
    <t>A Touch of Acumen</t>
  </si>
  <si>
    <t>Secure, Protect, Leave</t>
  </si>
  <si>
    <t>Warriors from the Mountain</t>
  </si>
  <si>
    <t>Master of the Flying Assassins</t>
  </si>
  <si>
    <t>Skill and an even stronger will</t>
  </si>
  <si>
    <t>Crouching Tiger</t>
  </si>
  <si>
    <t>A Bit Of Everything, Simultaneously</t>
  </si>
  <si>
    <t>Hidden Dragon</t>
  </si>
  <si>
    <t>Beatmaker</t>
  </si>
  <si>
    <t>Bonus Stage</t>
  </si>
  <si>
    <t>Fist of the Immortal</t>
  </si>
  <si>
    <t>Here Cometh the Iceman</t>
  </si>
  <si>
    <t>Fighter in the Pond</t>
  </si>
  <si>
    <t>Escaped Tartarus</t>
  </si>
  <si>
    <t>Escaped Asphodel</t>
  </si>
  <si>
    <t>Arms Collector</t>
  </si>
  <si>
    <t>Friends in High Places</t>
  </si>
  <si>
    <t>Escaped Elysium</t>
  </si>
  <si>
    <t>Chthonic Colleagues</t>
  </si>
  <si>
    <t>Is There No Escape?</t>
  </si>
  <si>
    <t>Death Dealer</t>
  </si>
  <si>
    <t>Skelly Slayer</t>
  </si>
  <si>
    <t>Well Stocked</t>
  </si>
  <si>
    <t>Three-Headed Boy</t>
  </si>
  <si>
    <t>Day-or-Night Trader</t>
  </si>
  <si>
    <t>Back to Work</t>
  </si>
  <si>
    <t>Blessed by the Gods</t>
  </si>
  <si>
    <t>Blood Bound</t>
  </si>
  <si>
    <t>Urge to Sing</t>
  </si>
  <si>
    <t>Grown Close</t>
  </si>
  <si>
    <t>River Denizens</t>
  </si>
  <si>
    <t>Home Makeover</t>
  </si>
  <si>
    <t>The Family Secret</t>
  </si>
  <si>
    <t>Had to Happen</t>
  </si>
  <si>
    <t>To Charon's Credit</t>
  </si>
  <si>
    <t>Tools of the Architect</t>
  </si>
  <si>
    <t>Rare Collectible</t>
  </si>
  <si>
    <t>Master of Arms</t>
  </si>
  <si>
    <t>Weapon of Fate</t>
  </si>
  <si>
    <t>Something From Everyone</t>
  </si>
  <si>
    <t>Hold the Onions</t>
  </si>
  <si>
    <t>Well Versed</t>
  </si>
  <si>
    <t>War-God's Bloodlust</t>
  </si>
  <si>
    <t>Champion of Elysium</t>
  </si>
  <si>
    <t>Musician and Muse</t>
  </si>
  <si>
    <t>Haste of Hermes</t>
  </si>
  <si>
    <t>Bad Call</t>
  </si>
  <si>
    <t>The Useless Trinket</t>
  </si>
  <si>
    <t>Thanks, But No Thanks</t>
  </si>
  <si>
    <t>Slashed Benefits</t>
  </si>
  <si>
    <t>Nyx's Mirror</t>
  </si>
  <si>
    <t>Night and Darkness</t>
  </si>
  <si>
    <t>End to Torment</t>
  </si>
  <si>
    <t>Infernal Arms</t>
  </si>
  <si>
    <t>Dark Reflections</t>
  </si>
  <si>
    <t>Divided by Death</t>
  </si>
  <si>
    <t>One for the Ages</t>
  </si>
  <si>
    <t>Harsh Conditions</t>
  </si>
  <si>
    <t>Skelly's Last Lamentations</t>
  </si>
  <si>
    <t>Thorn of Thanatos</t>
  </si>
  <si>
    <t>Complete Set</t>
  </si>
  <si>
    <t>Friends Forever</t>
  </si>
  <si>
    <t>Witch of the Woods</t>
  </si>
  <si>
    <t>Witch of the Depths</t>
  </si>
  <si>
    <t>Witch of the Plains</t>
  </si>
  <si>
    <t>Witch of the Outskirts</t>
  </si>
  <si>
    <t>Witch of the Waters</t>
  </si>
  <si>
    <t>Soothing Soak</t>
  </si>
  <si>
    <t>Witch of the Abyss</t>
  </si>
  <si>
    <t>The Arms of Night</t>
  </si>
  <si>
    <t>Witch of the Mountains</t>
  </si>
  <si>
    <t>Sheep's Clothing</t>
  </si>
  <si>
    <t>So Mote It Be</t>
  </si>
  <si>
    <t>Breadth of Knowledge</t>
  </si>
  <si>
    <t>Familiar Confidant</t>
  </si>
  <si>
    <t>Catch of the Night</t>
  </si>
  <si>
    <t>Witch of the Clouds</t>
  </si>
  <si>
    <t>Ambrosia for Two</t>
  </si>
  <si>
    <t>Mind for Magick</t>
  </si>
  <si>
    <t>Natural Talent</t>
  </si>
  <si>
    <t>Death to Chronos</t>
  </si>
  <si>
    <t>Animal Whisperer</t>
  </si>
  <si>
    <t>Behold Night's Champion</t>
  </si>
  <si>
    <t>Breaking Up the Band</t>
  </si>
  <si>
    <t>Giving Back</t>
  </si>
  <si>
    <t>Mercy, Night's Executioner</t>
  </si>
  <si>
    <t>Elysian Glory</t>
  </si>
  <si>
    <t>Haunted by the Past</t>
  </si>
  <si>
    <t>Soundest of Sleepers</t>
  </si>
  <si>
    <t>Arcana of the Ages</t>
  </si>
  <si>
    <t>Denizens of the Depths</t>
  </si>
  <si>
    <t>Fair Fight</t>
  </si>
  <si>
    <t>Sword of the Night</t>
  </si>
  <si>
    <t>Hand of the Fates</t>
  </si>
  <si>
    <t>Close Comrades</t>
  </si>
  <si>
    <t>Born to Win</t>
  </si>
  <si>
    <t>Dressed to Kill</t>
  </si>
  <si>
    <t>Unassailable Insight</t>
  </si>
  <si>
    <t>Voice and Vanity</t>
  </si>
  <si>
    <t>Sentimental Value</t>
  </si>
  <si>
    <t>The Unseen Sentinel</t>
  </si>
  <si>
    <t>Unrivaled Prowess</t>
  </si>
  <si>
    <t>Infinite Possibility</t>
  </si>
  <si>
    <t>Golden Age</t>
  </si>
  <si>
    <t>Beast Master</t>
  </si>
  <si>
    <t>Unfinished Business</t>
  </si>
  <si>
    <t>Silk and Spitefulness</t>
  </si>
  <si>
    <t>Unfamiliar Forms</t>
  </si>
  <si>
    <t>Bearing Dark Gifts</t>
  </si>
  <si>
    <t>Improbable Outcomes</t>
  </si>
  <si>
    <t>Chaos in Hell</t>
  </si>
  <si>
    <t>Goddess of Nightmares</t>
  </si>
  <si>
    <t>The old monkey has told his tale. Onward you must go.</t>
  </si>
  <si>
    <t>False is his name. Slay him all the same!</t>
  </si>
  <si>
    <t>Armed head to toe, dread not the foe.</t>
  </si>
  <si>
    <t>Consume those who had consumed.</t>
  </si>
  <si>
    <t>Fresh brew in an old cask. May it stir a great task!</t>
  </si>
  <si>
    <t>The white-clad one pled his case. Spare him some days of grace.</t>
  </si>
  <si>
    <t>A good match calls for a good weapon.</t>
  </si>
  <si>
    <t>Of all things to learn, you chose to play with fire?</t>
  </si>
  <si>
    <t>Three bells sound, lost souls bound.</t>
  </si>
  <si>
    <t>Now at an end is the elder's long wait for the journeyer.</t>
  </si>
  <si>
    <t>A whole nest of rats scatters and falls.</t>
  </si>
  <si>
    <t>This odd boulder has something curious inside.</t>
  </si>
  <si>
    <t>Tonics are well and good, but not to be wolfed like food!</t>
  </si>
  <si>
    <t>There will be more sages if their maker still engages.</t>
  </si>
  <si>
    <t>Red eyes mark wrong chants. The scripture needs amends.</t>
  </si>
  <si>
    <t>The drunk said there's gold here. Do you believe him?</t>
  </si>
  <si>
    <t>The beetle came with drumbeats' call, and left with waves' gentle fall.</t>
  </si>
  <si>
    <t>Now one less dwells in the dome of stars.</t>
  </si>
  <si>
    <t>Resonant waves profound, he is now buried in the ground.</t>
  </si>
  <si>
    <t>Smoke rises high, his doom shall arrive.</t>
  </si>
  <si>
    <t>In furnace there is fire, and in fire there are pills.</t>
  </si>
  <si>
    <t>No words of kind. Pay them no mind.</t>
  </si>
  <si>
    <t>Search each Buddha's head; in this perilous land, stones reside.</t>
  </si>
  <si>
    <t>You don't need to wait for the perfect moment to soar to greater heights.</t>
  </si>
  <si>
    <t>The fat monk failed, for he spoke too much.</t>
  </si>
  <si>
    <t>An odd yaoguai killed, an odd mirror earned.</t>
  </si>
  <si>
    <t>Evening light on snow, rigidity ends in woe.</t>
  </si>
  <si>
    <t>Near the hut the crops thrive; in the Painted Realm, their hearts lie.</t>
  </si>
  <si>
    <t>The tiger, the child, both lost in the wild.</t>
  </si>
  <si>
    <t>Harsh, rash, ever unquelled. Rank, dank, muck-impelled.</t>
  </si>
  <si>
    <t>The brothers and their father. You've met them all.</t>
  </si>
  <si>
    <t>Not even one of them looked back.</t>
  </si>
  <si>
    <t>A quirky man, a vanished melon patch; a marvelous spell, and an unexpected meeting.</t>
  </si>
  <si>
    <t>More eyes do not see more than the mortal trifles.</t>
  </si>
  <si>
    <t>A mere test of skill turned into a fight for the kill.</t>
  </si>
  <si>
    <t>To die is as woeful as to live alone.</t>
  </si>
  <si>
    <t>Ha! A devoted Daoist should not be so polished!</t>
  </si>
  <si>
    <t>"What use are eight arms against twenty strikes with my staff?"</t>
  </si>
  <si>
    <t>The golden child brought fire and smoke; when they cleared, the family broke.</t>
  </si>
  <si>
    <t>Long and short, far and near, each span has its year.</t>
  </si>
  <si>
    <t>Fields kept trim leave time to skim.</t>
  </si>
  <si>
    <t>Wings alone pale beside this greater gift!</t>
  </si>
  <si>
    <t>How mighty would those four spirits be if I could harness their power?</t>
  </si>
  <si>
    <t>In the air they swing, yet it's already ending.</t>
  </si>
  <si>
    <t>You are fully fitted. Now, swing that staff and fight!</t>
  </si>
  <si>
    <t>"Through fire, armor is refined; through trials, strength is defined."</t>
  </si>
  <si>
    <t>Oh woe, oh woe, long trails they did go.</t>
  </si>
  <si>
    <t>"All the four vessels now belong to me!"</t>
  </si>
  <si>
    <t>Two minds' long fray leaves but one to stay.</t>
  </si>
  <si>
    <t>Such a waste of those four grand titles.</t>
  </si>
  <si>
    <t>"For his recognition, I'd give my life for him."</t>
  </si>
  <si>
    <t>The six valiant captains who only fight in number.</t>
  </si>
  <si>
    <t>The merging of ice and fire, swift and severe.</t>
  </si>
  <si>
    <t>Never will she see with him the world beyond.</t>
  </si>
  <si>
    <t>"Is that ugliness a promise of immortality? Better leave it."</t>
  </si>
  <si>
    <t>Each and every one holds their own truth.</t>
  </si>
  <si>
    <t>Bonds from bygone days still pull at the heart.</t>
  </si>
  <si>
    <t>"Let go of him, and you let go of all."</t>
  </si>
  <si>
    <t>After all that strife and struggle, what's truly been gained?</t>
  </si>
  <si>
    <t>Together at last, the scorpions united.</t>
  </si>
  <si>
    <t>All spells we know are derived from the same source.</t>
  </si>
  <si>
    <t>This powerful pill still carries her caring wish.</t>
  </si>
  <si>
    <t>How odd to encounter this old man at every corner!</t>
  </si>
  <si>
    <t>Six frogs, six skills—how intriguing!</t>
  </si>
  <si>
    <t>"With my life I'll repay the title he gave me!"</t>
  </si>
  <si>
    <t>You've picked them all, the easy ones and the hard ones.</t>
  </si>
  <si>
    <t>"Call off the chase! You've crushed every yaoguai here..."</t>
  </si>
  <si>
    <t>"Here, have it, have it all."</t>
  </si>
  <si>
    <t>Now you can sate yourself with all the drinks.</t>
  </si>
  <si>
    <t>Each guise grants a new horizon.</t>
  </si>
  <si>
    <t>The most marvelous places for meditation have all met your gaze.</t>
  </si>
  <si>
    <t>Humans, beasts, yaoguais, and the Bodhisattvas. All recorded and noted.</t>
  </si>
  <si>
    <t>"All the tattered pages can now be compiled in full."</t>
  </si>
  <si>
    <t>Rare is not the gourd but a friend to drink with.</t>
  </si>
  <si>
    <t>A walking vault of arms you have become!</t>
  </si>
  <si>
    <t>Their mighty Spirits are now gathered within you.</t>
  </si>
  <si>
    <t>Take more as fruit as your plants take root.</t>
  </si>
  <si>
    <t>Every rare wonder the world can offer, collected and kept.</t>
  </si>
  <si>
    <t>A blend for every brew to bring out its best.</t>
  </si>
  <si>
    <t>Shoes on feet, hat on head, embroidered shirt, Daoist robe—free as can be, doing as you please!</t>
  </si>
  <si>
    <t>Each ordeal paves your path to what you are meant to be.</t>
  </si>
  <si>
    <t>Deliver a successful Fatal Attack.</t>
  </si>
  <si>
    <t>Repair a Stargazer.</t>
  </si>
  <si>
    <t>Kill the Parade Master.</t>
  </si>
  <si>
    <t>Tell a lie in front of Hotel Krat Entrance.</t>
  </si>
  <si>
    <t>Destroy an enemy’s weapon with a perfect guard.</t>
  </si>
  <si>
    <t>Kill a Stalker.</t>
  </si>
  <si>
    <t>Kill the Scrapped Watchman.</t>
  </si>
  <si>
    <t>Kill King’s Flame, Fuoco.</t>
  </si>
  <si>
    <t>Try to assemble a weapon.</t>
  </si>
  <si>
    <t>Kill the Fallen Archbishop Andreus.</t>
  </si>
  <si>
    <t>Kill the Eldest of the Black Rabbit Brotherhood.</t>
  </si>
  <si>
    <t>Harvest Gold Coin Fruit.</t>
  </si>
  <si>
    <t>Kill Romeo, King of Puppets.</t>
  </si>
  <si>
    <t>Kill all types of Dimensional Butterflies.</t>
  </si>
  <si>
    <t>Kill Champion Victor.</t>
  </si>
  <si>
    <t>Kill the Puppet-Devouring Green Monster.</t>
  </si>
  <si>
    <t>Kill the Corrupted Parade Master.</t>
  </si>
  <si>
    <t>Modify a Legion Arm to its max level.</t>
  </si>
  <si>
    <t>Kill the Black Rabbit Brotherhood.</t>
  </si>
  <si>
    <t>Activate P-Organ to Phase 5.</t>
  </si>
  <si>
    <t>Kill Laxasia the Complete.</t>
  </si>
  <si>
    <t>Kill the Awakened God Simon Manus.</t>
  </si>
  <si>
    <t>Find out about the last story of Simon Manus.</t>
  </si>
  <si>
    <t>Strengthen a normal weapon to its max level.</t>
  </si>
  <si>
    <t>Strengthen a special weapon to its max level.</t>
  </si>
  <si>
    <t>Kill the Nameless Puppet.</t>
  </si>
  <si>
    <t>Find out about the last story of Antonia.</t>
  </si>
  <si>
    <t>Collect all Legion Arms.</t>
  </si>
  <si>
    <t>[Rise of P] Reach the ending.</t>
  </si>
  <si>
    <t>Discover all Trinity Sanctums.</t>
  </si>
  <si>
    <t>Find out about the last story of Venigni.</t>
  </si>
  <si>
    <t>Play a perfect tune on the piano at Hotel Krat.</t>
  </si>
  <si>
    <t>Find out about the last story of Eugénie.</t>
  </si>
  <si>
    <t>[Free from the puppet string] Reach the ending.</t>
  </si>
  <si>
    <t>Find out about the last story of Sophia.</t>
  </si>
  <si>
    <t>Kill Markiona, the Puppeteer of Death.</t>
  </si>
  <si>
    <t>Learn all gestures.</t>
  </si>
  <si>
    <t>Decipher all cryptic vessels and claim the rewards.</t>
  </si>
  <si>
    <t>Kill the Anguished Guardian of the Ruins.</t>
  </si>
  <si>
    <t>Kill the Leader of the Bastards and the Leader of the Sweepers.</t>
  </si>
  <si>
    <t>[Real boy: They all lived happily ever after] Reach the ending.</t>
  </si>
  <si>
    <t>Kill the Blood Artist.</t>
  </si>
  <si>
    <t>[The Rose's Memory] Reach the ending.</t>
  </si>
  <si>
    <t>Further upgrade the abilities of the P-Organ.</t>
  </si>
  <si>
    <t>Listen to the Legend's last recording.</t>
  </si>
  <si>
    <t>Collect all normal weapons.</t>
  </si>
  <si>
    <t>Decrypt all clues hidden inside the cipher machines and claim the rewards.</t>
  </si>
  <si>
    <t>Collect all special weapons.</t>
  </si>
  <si>
    <t>Find out about the last story of Geppetto.</t>
  </si>
  <si>
    <t>Collect and play all records.</t>
  </si>
  <si>
    <t>Learn all gestures from the Forgotten Time.</t>
  </si>
  <si>
    <t>Collect all weapons and Legion Arms in the Forgotten Time.</t>
  </si>
  <si>
    <t>Collect and listen to all records from the Forgotten Time.</t>
  </si>
  <si>
    <t>Arrived at Roundtable Hold</t>
  </si>
  <si>
    <t>Defeated Margit, the Fell Omen</t>
  </si>
  <si>
    <t>Defeated Shardbearer Godrick</t>
  </si>
  <si>
    <t>Restored the power of a Great Rune</t>
  </si>
  <si>
    <t>Defeated the Red Wolf of Radagon</t>
  </si>
  <si>
    <t>Defeated Rennala, Queen of the Full Moon</t>
  </si>
  <si>
    <t>Defeated the Leonine Misbegotten</t>
  </si>
  <si>
    <t>Defeated Royal Knight Loretta</t>
  </si>
  <si>
    <t>Defeated Shardbearer Radahn</t>
  </si>
  <si>
    <t>Defeated Mimic Tear</t>
  </si>
  <si>
    <t>Defeated Godfrey, First Elden Lord</t>
  </si>
  <si>
    <t>Defeated Shardbearer Morgott</t>
  </si>
  <si>
    <t>Defeated Magma Wyrm Makar</t>
  </si>
  <si>
    <t>Upgraded any armament to its highest stage</t>
  </si>
  <si>
    <t>Defeated Fire Giant</t>
  </si>
  <si>
    <t>Used kindling to set the Erdtree aflame</t>
  </si>
  <si>
    <t>Defeated Commander Niall</t>
  </si>
  <si>
    <t>Defeated Shardbearer Rykard</t>
  </si>
  <si>
    <t>Defeated Astel, Naturalborn of the Void</t>
  </si>
  <si>
    <t>Defeated Godskin Duo</t>
  </si>
  <si>
    <t>Defeated Godskin Noble</t>
  </si>
  <si>
    <t>Defeated Ancestor Spirit</t>
  </si>
  <si>
    <t>Defeated Maliketh the Black Blade</t>
  </si>
  <si>
    <t>Defeated Shardbearer Mohg</t>
  </si>
  <si>
    <t>Defeated Hoarah Loux, Warrior</t>
  </si>
  <si>
    <t>Defeated Valiant Gargoyles</t>
  </si>
  <si>
    <t>Defeated Loretta, Knight of the Haligtree</t>
  </si>
  <si>
    <t>Defeated Elemer of the Briar</t>
  </si>
  <si>
    <t>Defeated Dragonkin Soldier of Nokstella</t>
  </si>
  <si>
    <t>Defeated Regal Ancestor Spirit</t>
  </si>
  <si>
    <t>Defeated Shardbearer Malenia</t>
  </si>
  <si>
    <t>Defeated Mohg, the Omen</t>
  </si>
  <si>
    <t>Defeated Dragonlord Placidusax</t>
  </si>
  <si>
    <t>Defeated Lichdragon Fortissax</t>
  </si>
  <si>
    <t>Achieved the "Age of the Stars" ending</t>
  </si>
  <si>
    <t>Achieved the "Elden Lord" ending</t>
  </si>
  <si>
    <t>Acquired all legendary armaments</t>
  </si>
  <si>
    <t>Acquired all legendary talismans</t>
  </si>
  <si>
    <t>Acquired all legendary ashen remains</t>
  </si>
  <si>
    <t>Acquired all legendary sorceries and incantations</t>
  </si>
  <si>
    <t>Achieved the "Lord of Frenzied Flame" ending</t>
  </si>
  <si>
    <t>Obtained all achievements</t>
  </si>
  <si>
    <t>Received the "Kusabimaru" from Kuro</t>
  </si>
  <si>
    <t>Acquired the Shinobi Prosthetic</t>
  </si>
  <si>
    <t>Returned from the dead using "Resurrection" for the first time</t>
  </si>
  <si>
    <t>Encountered the Memorial Mob</t>
  </si>
  <si>
    <t>Defeated "Gyoubu Masataka Oniwa"</t>
  </si>
  <si>
    <t>Defeated "Lady Butterfly"</t>
  </si>
  <si>
    <t>Defeated "Genichiro Ashina"</t>
  </si>
  <si>
    <t>Caught the Folding Screen Monkeys</t>
  </si>
  <si>
    <t>Defeated the "Guardian Ape"</t>
  </si>
  <si>
    <t>Grasped the inner mysteries of any combat style</t>
  </si>
  <si>
    <t>Defeated "Great Shinobi - Owl"</t>
  </si>
  <si>
    <t>Traveled to all areas of the game</t>
  </si>
  <si>
    <t>Defeated the "Corrupted Monk"</t>
  </si>
  <si>
    <t>Defeated the "Divine Dragon" and obtained the "Divine Dragon's Tears"</t>
  </si>
  <si>
    <t>Used the Mortal Blade to sever the Guardian Ape's undying</t>
  </si>
  <si>
    <t>Acquired all Ninjutsu Techniques</t>
  </si>
  <si>
    <t>Defeated the "Great Serpent".</t>
  </si>
  <si>
    <t>Defeated "Sword Saint Isshin Ashina"</t>
  </si>
  <si>
    <t>Acquired all Prosthetic Tools</t>
  </si>
  <si>
    <t>Fully upgraded the "Healing Gourd"</t>
  </si>
  <si>
    <t>Defeated the "Demon of Hatred"</t>
  </si>
  <si>
    <t>Attained the "Immortal Severance" ending</t>
  </si>
  <si>
    <t>Defeated the "Great Colored Carp".</t>
  </si>
  <si>
    <t>Defeated "Great Shinobi - Owl" at the Hirata Estate</t>
  </si>
  <si>
    <t>Upgraded Vitality and Posture to their limit</t>
  </si>
  <si>
    <t>Used Lapis Lazuli to upgrade any tool to its limit</t>
  </si>
  <si>
    <t>Defeated "Isshin Ashina"</t>
  </si>
  <si>
    <t>Attained the "Shura" ending</t>
  </si>
  <si>
    <t>Attained the "Return" ending</t>
  </si>
  <si>
    <t>Attained the "Purification" ending</t>
  </si>
  <si>
    <t>Defeated all bosses</t>
  </si>
  <si>
    <t>Acquired all skills</t>
  </si>
  <si>
    <t>Upgraded all Prosthetic Tools to their limit</t>
  </si>
  <si>
    <t>All achievements have been unlocked.</t>
  </si>
  <si>
    <t>Reached the Shrouded Roundtable Hold</t>
  </si>
  <si>
    <t>Invoked the power of a relic for the first time</t>
  </si>
  <si>
    <t>Defeated 10 or more great enemies on 1 expedition</t>
  </si>
  <si>
    <t>The Nightlords appeared</t>
  </si>
  <si>
    <t>Defeated Gladius, Beast of Night</t>
  </si>
  <si>
    <t>The Duchess became a playable character</t>
  </si>
  <si>
    <t>Acquired a legendary armament for the first time</t>
  </si>
  <si>
    <t>Acquired a great number of flask charges</t>
  </si>
  <si>
    <t>Defeated Adel, Baron of Night</t>
  </si>
  <si>
    <t>Acquired a new vessel and conducted a different relic rite for the first time</t>
  </si>
  <si>
    <t>Defeated Gnoster, Wisdom of Night</t>
  </si>
  <si>
    <t>The Night Aspect appeared</t>
  </si>
  <si>
    <t>Attained maximum level</t>
  </si>
  <si>
    <t>Defeated Maris, Fathom of Night</t>
  </si>
  <si>
    <t>The Revenant became a playable character</t>
  </si>
  <si>
    <t>Completed Fell Omen raid</t>
  </si>
  <si>
    <t>Defeated Libra, Creature of Night</t>
  </si>
  <si>
    <t>Defeated Fulghor, Champion of Nightglow</t>
  </si>
  <si>
    <t>Defeated Caligo, Miasma of Night</t>
  </si>
  <si>
    <t>Changed garb via dresser for the first time</t>
  </si>
  <si>
    <t>Completed Augur raid</t>
  </si>
  <si>
    <t>Found the secret of the Crater</t>
  </si>
  <si>
    <t>Found the secret of the Mountaintop</t>
  </si>
  <si>
    <t>Found the secret of the Rotted Woods</t>
  </si>
  <si>
    <t>Completed the oldest gaol</t>
  </si>
  <si>
    <t>Defeated Heolstor the Nightlord</t>
  </si>
  <si>
    <t>Completed Equilibrious Beast raid</t>
  </si>
  <si>
    <t>Reached the ending</t>
  </si>
  <si>
    <t>Defeated all Nightlords</t>
  </si>
  <si>
    <t>Completed Sentient Pest raid</t>
  </si>
  <si>
    <t>Defeated 3 different Nightlords in a row</t>
  </si>
  <si>
    <t>Found the secret of Noklateo, the Shrouded City</t>
  </si>
  <si>
    <t>Acquired many pieces of high-rarity equipment on a single expedition</t>
  </si>
  <si>
    <t>Found the secrets of all Shifting Earth locations</t>
  </si>
  <si>
    <t>Acquired a great many vessels</t>
  </si>
  <si>
    <t>Defeated a Nightlord with each character</t>
  </si>
  <si>
    <t>Earned all achievements</t>
  </si>
  <si>
    <t>Acquire your first Tool</t>
  </si>
  <si>
    <t>Bind your first Silk Skill</t>
  </si>
  <si>
    <t>Defeat the Bell Beast</t>
  </si>
  <si>
    <t>Grant your first wish</t>
  </si>
  <si>
    <t>Defeat Lace in Deep Docks</t>
  </si>
  <si>
    <t>Defeat Fourth Chorus</t>
  </si>
  <si>
    <t>Claim your first Crest</t>
  </si>
  <si>
    <t>Acquire 2 Spool Fragments</t>
  </si>
  <si>
    <t>Defeat Widow</t>
  </si>
  <si>
    <t>Acquire 4 Mask Shards</t>
  </si>
  <si>
    <t>Defeat the Last Judge</t>
  </si>
  <si>
    <t>Defeat the Cogwork Dancers</t>
  </si>
  <si>
    <t>Grant Nuu's wish</t>
  </si>
  <si>
    <t>Defeat Trobbio</t>
  </si>
  <si>
    <t>Rescue half of Pharloom's lost fleas</t>
  </si>
  <si>
    <t>Learn the Citadel's Threefold song</t>
  </si>
  <si>
    <t>Defeat Phantom</t>
  </si>
  <si>
    <t>Acquire your own Bellhome</t>
  </si>
  <si>
    <t>Defeat Lace in the Cradle</t>
  </si>
  <si>
    <t>Open all of the Citadel's Ventrica Stations</t>
  </si>
  <si>
    <t>Open all of Pharloom's Bellways</t>
  </si>
  <si>
    <t>Satiate the Grand Gourmand</t>
  </si>
  <si>
    <t>Grant Shakra's wish</t>
  </si>
  <si>
    <t>Defeat Grand Mother Silk and bind her power</t>
  </si>
  <si>
    <t>Defeat First Sinner</t>
  </si>
  <si>
    <t>Defeat Grand Mother Silk and entrap her with the Soul Snare</t>
  </si>
  <si>
    <t>Learn the Beastling Call</t>
  </si>
  <si>
    <t>Rescue all of Pharloom's lost fleas and receive their final gift</t>
  </si>
  <si>
    <t>Acquire all Silk Hearts</t>
  </si>
  <si>
    <t>Defeat Crust King Khann</t>
  </si>
  <si>
    <t>Defeat Nyleth</t>
  </si>
  <si>
    <t>Defeat Skarrsinger Karmelita</t>
  </si>
  <si>
    <t>Claim the Everbloom from within a distant memory</t>
  </si>
  <si>
    <t>Defeat Pinstress</t>
  </si>
  <si>
    <t>Claim all Crests</t>
  </si>
  <si>
    <t>Defeat Lost Garmond</t>
  </si>
  <si>
    <t>Bind all Silk Skills</t>
  </si>
  <si>
    <t>Defeat Lost Lace and free Pharloom</t>
  </si>
  <si>
    <t>Acquire a map of each area</t>
  </si>
  <si>
    <t>Defeat the Clover Dancers</t>
  </si>
  <si>
    <t>Bind Eva</t>
  </si>
  <si>
    <t>Acquire all Spool Fragments</t>
  </si>
  <si>
    <t>Acquire all Mask Shards</t>
  </si>
  <si>
    <t>Acquire all Tools</t>
  </si>
  <si>
    <t>Grant the Herald's wish and finish the game</t>
  </si>
  <si>
    <t>Defeat Grand Mother Silk while cursed</t>
  </si>
  <si>
    <t>Achieve 100% game completion and finish the game</t>
  </si>
  <si>
    <t>Receive the Hunter's Memento</t>
  </si>
  <si>
    <t>Complete the game in under 5 hours</t>
  </si>
  <si>
    <t>Achieve 100% game completion and finish the game in under 30 hours</t>
  </si>
  <si>
    <t>Finish the game in Steel Soul mode</t>
  </si>
  <si>
    <t>Achieve 100% game completion and finish the game in Steel Soul mode</t>
  </si>
  <si>
    <t>Acquire your first Charm</t>
  </si>
  <si>
    <t>Defeat the False Knight</t>
  </si>
  <si>
    <t>Defeat Hornet in Greenpath</t>
  </si>
  <si>
    <t>Open half of Hallownest's Stag Stations</t>
  </si>
  <si>
    <t>Defeat the Soul Master</t>
  </si>
  <si>
    <t>Defeat the Mantis Lords</t>
  </si>
  <si>
    <t>Acquire 3 Vessel Fragments</t>
  </si>
  <si>
    <t>Defeat the Dung Defender</t>
  </si>
  <si>
    <t>Defeat the Broken Vessel</t>
  </si>
  <si>
    <t>Acquire half of Hallownest's Charms</t>
  </si>
  <si>
    <t>Destroy Herrah the Beast</t>
  </si>
  <si>
    <t>Defeat Hornet in Kingdom's Edge</t>
  </si>
  <si>
    <t>Rescue half of the imprisoned grubs</t>
  </si>
  <si>
    <t>Collect 600 Essence</t>
  </si>
  <si>
    <t>Destroy Monomon the Teacher</t>
  </si>
  <si>
    <t>Complete the Trial of the Warrior</t>
  </si>
  <si>
    <t>Destroy Lurien the Watcher</t>
  </si>
  <si>
    <t>Complete the Trial of the Conqueror</t>
  </si>
  <si>
    <t>Defeat the Traitor Lord</t>
  </si>
  <si>
    <t>Open all of Hallownest's Stag Stations and discover the Stag Nest</t>
  </si>
  <si>
    <t>Defeat the Collector</t>
  </si>
  <si>
    <t>Defeat the Lost Kin</t>
  </si>
  <si>
    <t>Collect 1800 Essence and awaken the Dream Nail</t>
  </si>
  <si>
    <t>Defeat Zote in the Colosseum of Fools</t>
  </si>
  <si>
    <t>Defeat Troupe Leader Grimm</t>
  </si>
  <si>
    <t>Defeat the Failed Champion</t>
  </si>
  <si>
    <t>Rescue all of the imprisoned grubs</t>
  </si>
  <si>
    <t>Remember the past and unite the Abyss</t>
  </si>
  <si>
    <t>Acquire all Vessel Fragments</t>
  </si>
  <si>
    <t>Spend a final moment with Quirrel</t>
  </si>
  <si>
    <t>Defeat the Hollow Knight and become the Vessel</t>
  </si>
  <si>
    <t>Defeat the Soul Tyrant</t>
  </si>
  <si>
    <t>Defeat Grey Prince Zote</t>
  </si>
  <si>
    <t>Bring peace to the Grey Mourner</t>
  </si>
  <si>
    <t>Complete the Trial of the Fool</t>
  </si>
  <si>
    <t>Collect 2400 Essence and hear the Seer's final words</t>
  </si>
  <si>
    <t>Defeat the Radiance and consume the light</t>
  </si>
  <si>
    <t>Acquire all Charms and receive Salubra's blessing</t>
  </si>
  <si>
    <t>Defeat White Defender</t>
  </si>
  <si>
    <t>Defeat the Hollow Knight with Hornet by your side</t>
  </si>
  <si>
    <t>Slay the Nailsmith with the Pure Nail</t>
  </si>
  <si>
    <t>Complete the Pantheon of the Master</t>
  </si>
  <si>
    <t>Complete the Pantheon of the Painter</t>
  </si>
  <si>
    <t>Defeat the Nightmare King and complete the Ritual</t>
  </si>
  <si>
    <t>Complete the Pantheon of the Sage</t>
  </si>
  <si>
    <t>Allow the Nailsmith to find a new calling</t>
  </si>
  <si>
    <t>Complete the Pantheon of the Knight</t>
  </si>
  <si>
    <t>Banish the Grimm Troupe from Hallownest</t>
  </si>
  <si>
    <t>Record all of Hallownest's creatures in the Hunter's Journal</t>
  </si>
  <si>
    <t>Leave Zote to die</t>
  </si>
  <si>
    <t>Receive the Hunter's Mark</t>
  </si>
  <si>
    <t>Aid the Herald in moving on</t>
  </si>
  <si>
    <t>Achieve 112% game completion and finish the game.</t>
  </si>
  <si>
    <t>Complete the game in under 10 hours</t>
  </si>
  <si>
    <t>Achieve 100% game completion and finish the game in under 20 hours</t>
  </si>
  <si>
    <t>Ascend the Pantheon of Hallownest and take your place at its peak</t>
  </si>
  <si>
    <t>Clear the prologue.</t>
  </si>
  <si>
    <t>Unlock your first skill.</t>
  </si>
  <si>
    <t>Perform 3 takedowns within 12 seconds. (Ignored in introduction level.)</t>
  </si>
  <si>
    <t>Kill Fajar at the end of the Squats.</t>
  </si>
  <si>
    <t>Reach your oldest appearance. Will you still have enough strength left to reach your goal?</t>
  </si>
  <si>
    <t>Climbing and going across the environment allows you to control the flow of the fight.</t>
  </si>
  <si>
    <t>Permanently unlock a skill for the first time.</t>
  </si>
  <si>
    <t>Kill Sean at the end of the Club.</t>
  </si>
  <si>
    <t>Anything can be a weapon, so keep using your environment to your advantage. All is fair in such fights! (Ignored in training mode.)</t>
  </si>
  <si>
    <t>Receive the highest age-based shrine reward for the first time.</t>
  </si>
  <si>
    <t>Reach a level score of 10 000.</t>
  </si>
  <si>
    <t>In the Squats, clear the hangar in less than 1 minute 20 seconds after being detected by the main group.</t>
  </si>
  <si>
    <t>Kill Kuroki at the end of the Museum.</t>
  </si>
  <si>
    <t>Receive the highest score-based shrine reward for the first time.</t>
  </si>
  <si>
    <t>Beat any boss without dying.</t>
  </si>
  <si>
    <t>Unlock the mighty Calbot move.</t>
  </si>
  <si>
    <t>Kill Jinfeng at the end of the Tower.</t>
  </si>
  <si>
    <t>Throwing enemies around makes handling big groups easier. (Ignored in training mode.)</t>
  </si>
  <si>
    <t>In the Tower's caves, drop from a high point to get deeper faster.</t>
  </si>
  <si>
    <t>Exact your vengeance (kill Yang at the end of the Sanctuary).</t>
  </si>
  <si>
    <t>Receive the highest XP-based shrine reward for the first time.</t>
  </si>
  <si>
    <t>Hit 3 enemies in a single strike. (Ignored in introduction level.)</t>
  </si>
  <si>
    <t>Beat the game while being 50 years old or less.</t>
  </si>
  <si>
    <t>Get 3 stamps in any arena challenge.</t>
  </si>
  <si>
    <t>Obtain the Wood talisman.</t>
  </si>
  <si>
    <t>Obtain the Fire talisman.</t>
  </si>
  <si>
    <t>Complete the Squats' detective board.</t>
  </si>
  <si>
    <t>Obtain the Water talisman.</t>
  </si>
  <si>
    <t>Obtain the Metal talisman.</t>
  </si>
  <si>
    <t>Unlock a new arena pack.</t>
  </si>
  <si>
    <t>Obtain the Earth talisman and attain Wude.</t>
  </si>
  <si>
    <t>Successfully use a blade weapon's one-shot attack on an enemy. (Ignored in training mode.)</t>
  </si>
  <si>
    <t>Bare handed or with a weapon, standing up, against a wall, a ledge, or on the ground... Perform each takedown type at least once.</t>
  </si>
  <si>
    <t>In the Club's pit, beat the Juggernaut before any other enemy is beaten.</t>
  </si>
  <si>
    <t>Beat the game while being 25 years old or less.</t>
  </si>
  <si>
    <t>Give the Photo Mode a shot!</t>
  </si>
  <si>
    <t>Complete the Tower's detective board.</t>
  </si>
  <si>
    <t>Complete the Club's detective board.</t>
  </si>
  <si>
    <t>Complete the Museum's detective board.</t>
  </si>
  <si>
    <t>In the Museum, throw an enemy into the fountain from a higher floor.</t>
  </si>
  <si>
    <t>Reach a level score of 20 000.</t>
  </si>
  <si>
    <t>Clear 25 different arena challenges.</t>
  </si>
  <si>
    <t>Complete the Sanctuary's detective board.</t>
  </si>
  <si>
    <t>Get gold stamps in a Survival arena challenge.</t>
  </si>
  <si>
    <t>Clear an arena challenge with the Custom Mode enabled.</t>
  </si>
  <si>
    <t>Use each Focus Attack at least once. (Ignored in introduction level.)</t>
  </si>
  <si>
    <t>Clear 45 different arena challenges.</t>
  </si>
  <si>
    <t>Get gold stamps in a Manhunt arena challenge.</t>
  </si>
  <si>
    <t>Get gold stamps in a Time Attack or Performance arena challenge.</t>
  </si>
  <si>
    <t>Get gold stamps in a Capture arena challenge.</t>
  </si>
  <si>
    <t>In the Sanctuary, throw an enemy into the mountains.</t>
  </si>
  <si>
    <t>Clear any challenge of the Heliport arena by throwing all enemies out.</t>
  </si>
  <si>
    <t>Collect 240 stamps in arenas.</t>
  </si>
  <si>
    <t>Clear all tiger arena challenges.</t>
  </si>
  <si>
    <t>Attempt to clear any level with the Modifiers Randomizer enabled.</t>
  </si>
  <si>
    <t>Clear all dragon arena challenges.</t>
  </si>
  <si>
    <t>Col pugno</t>
  </si>
  <si>
    <t>Oh! My car</t>
  </si>
  <si>
    <t>All achievements unlocked! Thank you for playing.</t>
  </si>
  <si>
    <t>Finish the target with a snowball in the "Cyclone" arena challenge.</t>
  </si>
  <si>
    <t>Throw the Disciple in the lake in the "Bellowing Mountains" arena challenge.</t>
  </si>
  <si>
    <t>Clear Tartarus</t>
  </si>
  <si>
    <t>Clear Asphodel</t>
  </si>
  <si>
    <t>Unlock each of the Infernal Arms</t>
  </si>
  <si>
    <t>Use Greater Call to invoke an Olympian's aid</t>
  </si>
  <si>
    <t>Clear Elysium</t>
  </si>
  <si>
    <t>Fulfill the 'Chthonic Colleagues' Prophecy</t>
  </si>
  <si>
    <t>Clear an escape attempt</t>
  </si>
  <si>
    <t>Beat Thanatos by 15 kills or more</t>
  </si>
  <si>
    <t>Slay Skelly 15 times</t>
  </si>
  <si>
    <t>Buy 9 'Well of Charon' items in one escape attempt</t>
  </si>
  <si>
    <t>Pet Cerberus 10 times</t>
  </si>
  <si>
    <t>Trade 20 times with the Wretched Broker</t>
  </si>
  <si>
    <t>Earn access to and enter the Administrative Chamber</t>
  </si>
  <si>
    <t>Choose 100 different Olympian Boon effects</t>
  </si>
  <si>
    <t>Max any Weapon Aspect</t>
  </si>
  <si>
    <t>Compel Orpheus to sing again</t>
  </si>
  <si>
    <t>Forge a bond with any character</t>
  </si>
  <si>
    <t>Catch a fish from each region</t>
  </si>
  <si>
    <t>Pay for 50 jobs from the House Contractor</t>
  </si>
  <si>
    <t>Complete the main quest in the story</t>
  </si>
  <si>
    <t>Fulfill any 15 Prophecies</t>
  </si>
  <si>
    <t>Earn a Loyalty Card</t>
  </si>
  <si>
    <t>Choose 50 different Daedalus Hammer enchantments</t>
  </si>
  <si>
    <t>Equip a Chthonic Companion</t>
  </si>
  <si>
    <t>Fulfill the 'Master of Arms' Prophecy</t>
  </si>
  <si>
    <t>Clear an escape attempt with a hidden Weapon Aspect</t>
  </si>
  <si>
    <t>Unlock each standard Keepsake</t>
  </si>
  <si>
    <t>Clear an Infernal Gate without taking damage</t>
  </si>
  <si>
    <t>Fully Unlock the Olympians' Codex entries</t>
  </si>
  <si>
    <t>Fulfill the 'War-God's Bloodlust' Prophecy</t>
  </si>
  <si>
    <t>Clear Elysium with the 'Extreme Measures' Condition</t>
  </si>
  <si>
    <t>Fulfill the 'Musician and Muse' Prophecy</t>
  </si>
  <si>
    <t>Get 20% dodge chance with the Lambent Plume</t>
  </si>
  <si>
    <t>Use an Olympian's Greater Call against them in a Trial</t>
  </si>
  <si>
    <t>Earn the first of Skelly's prizes</t>
  </si>
  <si>
    <t>Purge a Legendary Boon</t>
  </si>
  <si>
    <t>Fulfill the 'Slashed Benefits' Prophecy</t>
  </si>
  <si>
    <t>Have at least one rank in each Mirror of Night Talent</t>
  </si>
  <si>
    <t>Fulfill the 'Night and Darkness' Prophecy</t>
  </si>
  <si>
    <t>Fulfill the 'End to Torment' Prophecy</t>
  </si>
  <si>
    <t>Unlock all Weapon Aspects</t>
  </si>
  <si>
    <t>Fulfill the 'Dark Reflections' Prophecy</t>
  </si>
  <si>
    <t>Fulfill the 'Divided by Death' Prophecy</t>
  </si>
  <si>
    <t>Reach the epilogue of the story</t>
  </si>
  <si>
    <t>Fulfill the 'Harsh Conditions' Prophecy</t>
  </si>
  <si>
    <t>Earn the second of Skelly's prizes</t>
  </si>
  <si>
    <t>Get 30% bonus damage with the Pierced Butterfly</t>
  </si>
  <si>
    <t>Earn all Chthonic Companions</t>
  </si>
  <si>
    <t>Max-rank each standard Keepsake</t>
  </si>
  <si>
    <t>Clear Erebus</t>
  </si>
  <si>
    <t>Clear Oceanus</t>
  </si>
  <si>
    <t>Clear the Fields of Mourning</t>
  </si>
  <si>
    <t>Clear the City of Ephyra</t>
  </si>
  <si>
    <t>Clear the Rift of Thessaly</t>
  </si>
  <si>
    <t>Take one of your comrades to the Hot Springs</t>
  </si>
  <si>
    <t>Fulfill the Prophecy 'The Arms of Night'</t>
  </si>
  <si>
    <t>Clear Mount Olympus</t>
  </si>
  <si>
    <t>Slay a Sister of the Dead while afflicted with Twilight Curse</t>
  </si>
  <si>
    <t>Cast 50 Incantations at the Crossroads Cauldron</t>
  </si>
  <si>
    <t>Fulfill the Prophecy 'Breadth of Knowledge'</t>
  </si>
  <si>
    <t>Fulfill the Prophecy 'Familiar Confidant'</t>
  </si>
  <si>
    <t>Take one of your comrades to the Fishing Pier</t>
  </si>
  <si>
    <t>Clear the Summit</t>
  </si>
  <si>
    <t>Take one of your comrades to the Taverna</t>
  </si>
  <si>
    <t>Gain 30 Grasp at the Altar of Ashes</t>
  </si>
  <si>
    <t>Fulfill the Prophecy 'Natural Talent'</t>
  </si>
  <si>
    <t>Complete the lifelong task of the Princess of the Underworld</t>
  </si>
  <si>
    <t>Recruit all Animal Familiars</t>
  </si>
  <si>
    <t>Earn the first Gift of the Veil</t>
  </si>
  <si>
    <t>Use Night Bloom to raise a Siren</t>
  </si>
  <si>
    <t>Earn 10,000 Kudos</t>
  </si>
  <si>
    <t>Earn the second Gift of the Veil</t>
  </si>
  <si>
    <t>Prevail in the Contest of Champions</t>
  </si>
  <si>
    <t>Fulfill the Prophecy 'Haunted by the Past'</t>
  </si>
  <si>
    <t>Fulfill the Prophecy 'Soundest of Sleepers'</t>
  </si>
  <si>
    <t>Fulfill the Prophecy 'Arcana of the Ages'</t>
  </si>
  <si>
    <t>Fulfill the Prophecy 'Denizens of the Depths'</t>
  </si>
  <si>
    <t>Earn 1,000 Gold competing against Nemesis</t>
  </si>
  <si>
    <t>Fulfill the Prophecy 'Sword of the Night'</t>
  </si>
  <si>
    <t>Fulfill 60 Minor Prophecies</t>
  </si>
  <si>
    <t>Forge a bond with 10 comrades</t>
  </si>
  <si>
    <t>Fulfill the Prophecy 'Born to Win'</t>
  </si>
  <si>
    <t>Reach the final confrontation in an Arachne outfit</t>
  </si>
  <si>
    <t>Fully upgrade all Arcana</t>
  </si>
  <si>
    <t>Fulfill the Prophecy 'Voice and Vanity'</t>
  </si>
  <si>
    <t>Collect every Keepsake</t>
  </si>
  <si>
    <t>Fulfill the Prophecy 'The Unseen Sentinel'</t>
  </si>
  <si>
    <t>Fulfill the Prophecy 'Unrivaled Prowess'</t>
  </si>
  <si>
    <t>Clear 20 Chaos Trials</t>
  </si>
  <si>
    <t>Fully upgrade all Animal Familiars</t>
  </si>
  <si>
    <t>Fulfill the Prophecy 'Unfinished Business'</t>
  </si>
  <si>
    <t>Fulfill the Prophecy 'Silk and Spitefulness'</t>
  </si>
  <si>
    <t>Alter the appearance of each Animal Familiar</t>
  </si>
  <si>
    <t>Fulfill the Prophecy 'Bearing Dark Gifts'</t>
  </si>
  <si>
    <t>Fulfill the Prophecy 'Improbable Outcomes'</t>
  </si>
  <si>
    <t>Clear the 'Great Chaos Below' Trial</t>
  </si>
  <si>
    <t>Earn all other Achievements</t>
  </si>
  <si>
    <t>https://shared.fastly.steamstatic.com/community_assets/images/apps/2358720/17dcc00a299e2c211217a15afff28248dc79ef7a.jpg</t>
  </si>
  <si>
    <t>https://shared.fastly.steamstatic.com/community_assets/images/apps/2358720/cf52ec300e1eb11164aba082a69973b746872f67.jpg</t>
  </si>
  <si>
    <t>data:,</t>
  </si>
  <si>
    <t>https://shared.fastly.steamstatic.com/community_assets/images/apps/1627720/861a49e43a6b3138b387586c7ce4fb088a5f1402.jpg</t>
  </si>
  <si>
    <t>https://shared.fastly.steamstatic.com/community_assets/images/apps/1627720/aeca6faa0ac1c7fd9390bbceca7ba5e589ef463a.jpg</t>
  </si>
  <si>
    <t>https://shared.fastly.steamstatic.com/community_assets/images/apps/1245620/f4e5fd19d3410470709632cd02b3136b5baca33d.jpg</t>
  </si>
  <si>
    <t>https://shared.fastly.steamstatic.com/community_assets/images/apps/1245620/9844ceb487fa8702ef9fddf8cf09b3767d985a14.jpg</t>
  </si>
  <si>
    <t>https://shared.fastly.steamstatic.com/community_assets/images/apps/814380/4f2088f8818ec2eb60119b3cd3a9213509bab46d.jpg</t>
  </si>
  <si>
    <t>https://shared.fastly.steamstatic.com/community_assets/images/apps/814380/2a664af0026dcd3489d7f60122e232f241889cde.jpg</t>
  </si>
  <si>
    <t>https://shared.fastly.steamstatic.com/community_assets/images/apps/2622380/768da8bec8e6cf31d5fb0ac90523b10e22056b82.jpg</t>
  </si>
  <si>
    <t>https://shared.fastly.steamstatic.com/community_assets/images/apps/2622380/1b51d5bb0a2cd761989706876562100fba580c7c.jpg</t>
  </si>
  <si>
    <t>https://shared.fastly.steamstatic.com/community_assets/images/apps/1030300/42d64a86bb4d50c2574612892ccdde465a020a54.jpg</t>
  </si>
  <si>
    <t>https://shared.fastly.steamstatic.com/community_assets/images/apps/1030300/a34b4da6c1652ec31603b82de0e983173917b2ad.jpg</t>
  </si>
  <si>
    <t>https://shared.fastly.steamstatic.com/community_assets/images/apps/367520/6d15e62c48ba57d23e72b8f24fb775a44223cb8f.jpg</t>
  </si>
  <si>
    <t>https://shared.fastly.steamstatic.com/community_assets/images/apps/367520/ef1f6b825646067c63f5703d1c7ba38b52d94259.jpg</t>
  </si>
  <si>
    <t>https://shared.fastly.steamstatic.com/community_assets/images/apps/2138710/7ba28c776de1066c89cde64874d8747b23908e2d.jpg</t>
  </si>
  <si>
    <t>https://shared.fastly.steamstatic.com/community_assets/images/apps/2138710/e3af2ef5cfb59a051ca5af8b8ede2a6fa6213a60.jpg</t>
  </si>
  <si>
    <t>https://shared.fastly.steamstatic.com/community_assets/images/apps/1145360/062a2b7bdc156af9438bdc440a19833addd2ae38.jpg</t>
  </si>
  <si>
    <t>https://shared.fastly.steamstatic.com/community_assets/images/apps/1145350/974c728e91ee0068539259f7cc6f4bc5f3373fd8.jpg</t>
  </si>
  <si>
    <t>https://shared.fastly.steamstatic.com/community_assets/images/apps/1145350/9bd88f9a13639e00c4b9371fdce7303c5ff241fc.jpg</t>
  </si>
  <si>
    <t>Clair Obscur: Expedition 33</t>
  </si>
  <si>
    <t>Lumière</t>
  </si>
  <si>
    <t>Embark on the Expedition.</t>
  </si>
  <si>
    <t>https://shared.fastly.steamstatic.com/community_assets/images/apps/1903340/6c78c7b969521de396e116d62341c83049fbfb1e.jpg</t>
  </si>
  <si>
    <t>Time to Spill Some Ink</t>
  </si>
  <si>
    <t>Break an enemy.</t>
  </si>
  <si>
    <t>https://shared.fastly.steamstatic.com/community_assets/images/apps/1903340/c079b7038296aa203229ee0864695bf2f549ddc5.jpg</t>
  </si>
  <si>
    <t>Overcharge</t>
  </si>
  <si>
    <t>With Gustave, use a fully charged Overcharge that Breaks an enemy.</t>
  </si>
  <si>
    <t>Spring Meadows</t>
  </si>
  <si>
    <t>Find your way through Spring Meadows.</t>
  </si>
  <si>
    <t>Paint Cage</t>
  </si>
  <si>
    <t>Break a Paint Cage.</t>
  </si>
  <si>
    <t>Flying Waters</t>
  </si>
  <si>
    <t>Find your way through Flying Waters.</t>
  </si>
  <si>
    <t>Weapon Upgrade</t>
  </si>
  <si>
    <t>Upgrade a weapon once.</t>
  </si>
  <si>
    <t>Lumina</t>
  </si>
  <si>
    <t>Consume a Lumina point.</t>
  </si>
  <si>
    <t>Curious</t>
  </si>
  <si>
    <t>Witness an optional scene at camp.</t>
  </si>
  <si>
    <t>Ancient Sanctuary</t>
  </si>
  <si>
    <t>Find your way through Ancient Sanctuary.</t>
  </si>
  <si>
    <t>Gestral Village</t>
  </si>
  <si>
    <t>Find your way through the Gestral Village.</t>
  </si>
  <si>
    <t>Esquie's Nest</t>
  </si>
  <si>
    <t>Find your way through Esquie's Nest.</t>
  </si>
  <si>
    <t>Legend</t>
  </si>
  <si>
    <t>Unlock Esquie.</t>
  </si>
  <si>
    <t>Stone Wave Cliffs</t>
  </si>
  <si>
    <t>Find your way through Stone Wave Cliffs.</t>
  </si>
  <si>
    <t>Forgotten Battlefield</t>
  </si>
  <si>
    <t>Find your way through Forgotten Battlefield.</t>
  </si>
  <si>
    <t>Expedition 33</t>
  </si>
  <si>
    <t>Unlock all playable characters.</t>
  </si>
  <si>
    <t>Monoco's Station</t>
  </si>
  <si>
    <t>Find your way through Monoco's Station.</t>
  </si>
  <si>
    <t>Perfection</t>
  </si>
  <si>
    <t>With Verso, reach Rank S.</t>
  </si>
  <si>
    <t>Old Lumière</t>
  </si>
  <si>
    <t>Find your way through Old Lumière.</t>
  </si>
  <si>
    <t>Expeditioner</t>
  </si>
  <si>
    <t>Reach level 33.</t>
  </si>
  <si>
    <t>First Axon</t>
  </si>
  <si>
    <t>Defeat the first Axon.</t>
  </si>
  <si>
    <t>Professional</t>
  </si>
  <si>
    <t>Defeat a boss without taking any damage.</t>
  </si>
  <si>
    <t>Second Axon</t>
  </si>
  <si>
    <t>Defeat the second Axon.</t>
  </si>
  <si>
    <t>Monolith</t>
  </si>
  <si>
    <t>Reach the Monolith.</t>
  </si>
  <si>
    <t>Perfect Flow</t>
  </si>
  <si>
    <t>With Lune, consume Stains 4 turns in a row.</t>
  </si>
  <si>
    <t>Paintress</t>
  </si>
  <si>
    <t>Defeat the Paintress.</t>
  </si>
  <si>
    <t>Back to Lumière</t>
  </si>
  <si>
    <t>Return to Lumière.</t>
  </si>
  <si>
    <t>A Peculiar Encounter</t>
  </si>
  <si>
    <t>Defeat the Mime in Lumière.</t>
  </si>
  <si>
    <t>Synergy</t>
  </si>
  <si>
    <t>With Maelle, use Percée on a Marked enemy while in Virtuose Stance.</t>
  </si>
  <si>
    <t>The End</t>
  </si>
  <si>
    <t>Reach the end.</t>
  </si>
  <si>
    <t>Maximisation</t>
  </si>
  <si>
    <t>With Sciel, consume 20 Foretell on a single target during Twilight.</t>
  </si>
  <si>
    <t>Plane, Train, and Submarine</t>
  </si>
  <si>
    <t>Discover all of Esquie’s abilities.</t>
  </si>
  <si>
    <t>Trailbreaker</t>
  </si>
  <si>
    <t>Reach level 66.</t>
  </si>
  <si>
    <t>Sciel</t>
  </si>
  <si>
    <t>Reach relationship level 7 with Sciel.</t>
  </si>
  <si>
    <t>Sprong</t>
  </si>
  <si>
    <t>Beat Sprong.</t>
  </si>
  <si>
    <t>Esquie</t>
  </si>
  <si>
    <t>Reach relationship level 7 with Esquie.</t>
  </si>
  <si>
    <t>Lune</t>
  </si>
  <si>
    <t>Reach relationship level 7 with Lune.</t>
  </si>
  <si>
    <t>Maelle</t>
  </si>
  <si>
    <t>Reach relationship level 7 with Maelle.</t>
  </si>
  <si>
    <t>Monoco</t>
  </si>
  <si>
    <t>Reach relationship level 7 with Monoco.</t>
  </si>
  <si>
    <t>Chroma Proficiency</t>
  </si>
  <si>
    <t>Use a level 3 Gradient Attack.</t>
  </si>
  <si>
    <t>Wheel Control</t>
  </si>
  <si>
    <t>With Monoco, cast an Upgraded Skill 4 turns in a row.</t>
  </si>
  <si>
    <t>Weapon Mastery</t>
  </si>
  <si>
    <t>Fully upgrade a weapon.</t>
  </si>
  <si>
    <t>À On</t>
  </si>
  <si>
    <t>Beat the Serpenphare.</t>
  </si>
  <si>
    <t>Carreau Parfait</t>
  </si>
  <si>
    <t>Beat the Chromatic Pétank.</t>
  </si>
  <si>
    <t>Clea</t>
  </si>
  <si>
    <t>Beat Clea.</t>
  </si>
  <si>
    <t>Noir et Blanc</t>
  </si>
  <si>
    <t>Solve the Painting Workshop’s mystery.</t>
  </si>
  <si>
    <t>“Endless”</t>
  </si>
  <si>
    <t>Reach the top of the Endless Tower.</t>
  </si>
  <si>
    <t>Peace At Last</t>
  </si>
  <si>
    <t>Beat Simon.</t>
  </si>
  <si>
    <t>Lost Gestrals</t>
  </si>
  <si>
    <t>Find all of the Lost Gestrals.</t>
  </si>
  <si>
    <t>Gestral Games</t>
  </si>
  <si>
    <t>Win all of the Gestral games.</t>
  </si>
  <si>
    <t>Feet Collection</t>
  </si>
  <si>
    <t>Acquire all of Monoco’s skills.</t>
  </si>
  <si>
    <t>Aiding the Enemy</t>
  </si>
  <si>
    <t>Finish all of the Nevron quests.</t>
  </si>
  <si>
    <t>Survivor</t>
  </si>
  <si>
    <t>Reach level 99.</t>
  </si>
  <si>
    <t>Follow The Trail</t>
  </si>
  <si>
    <t>Find all of the journals from prior expeditions.</t>
  </si>
  <si>
    <t>Connoisseur</t>
  </si>
  <si>
    <t>Find all 33 music records.</t>
  </si>
  <si>
    <t>Column1</t>
  </si>
  <si>
    <t>Marker</t>
  </si>
  <si>
    <t>ID</t>
  </si>
  <si>
    <t>Beat the first boss of the game</t>
  </si>
  <si>
    <t>Finish the Game</t>
  </si>
  <si>
    <t>Finish the DLC</t>
  </si>
  <si>
    <t>Notes</t>
  </si>
  <si>
    <t xml:space="preserve">While Horax Loux is not the final boss, the split achievements for the endings make this the last boss with shared achievements. </t>
  </si>
  <si>
    <t>Beat the first DLC boss</t>
  </si>
  <si>
    <t>Cuphead</t>
  </si>
  <si>
    <t>Taking Names</t>
  </si>
  <si>
    <t>Defeat a boss</t>
  </si>
  <si>
    <t>https://shared.fastly.steamstatic.com/community_assets/images/apps/268910/7f66cff96c3f74ce806ed5d311a52a11bbbce43e.jpg</t>
  </si>
  <si>
    <t>Parry Persistance</t>
  </si>
  <si>
    <t>Complete 20 parries</t>
  </si>
  <si>
    <t>https://shared.fastly.steamstatic.com/community_assets/images/apps/268910/f768e3f225fe867e1eea454991b8ce290ce5b641.jpg</t>
  </si>
  <si>
    <t>Parry Performance</t>
  </si>
  <si>
    <t>Complete 100 parries</t>
  </si>
  <si>
    <t>Cutting Corners</t>
  </si>
  <si>
    <t>Find a shortcut</t>
  </si>
  <si>
    <t>A Walk in the Park</t>
  </si>
  <si>
    <t>Defeat every boss in Inkwell Isle I</t>
  </si>
  <si>
    <t>Perfect Run</t>
  </si>
  <si>
    <t>Complete a level without getting hit</t>
  </si>
  <si>
    <t>Ceramic Strike</t>
  </si>
  <si>
    <t>Defeat a boss with an Extra Special move</t>
  </si>
  <si>
    <t>A Day at the Fair</t>
  </si>
  <si>
    <t>Defeat every boss in Inkwell Isle II</t>
  </si>
  <si>
    <t>Porcelain Power</t>
  </si>
  <si>
    <t>Defeat a boss with a Super Art</t>
  </si>
  <si>
    <t>Magician Lord</t>
  </si>
  <si>
    <t>Obtain all Super Arts</t>
  </si>
  <si>
    <t>A Trip Downtown</t>
  </si>
  <si>
    <t>Defeat every boss in Inkwell Isle III</t>
  </si>
  <si>
    <t>Bouncing Ball</t>
  </si>
  <si>
    <t>Parry five times before hitting the ground</t>
  </si>
  <si>
    <t>Casino Night</t>
  </si>
  <si>
    <t>Complete the Casino</t>
  </si>
  <si>
    <t>Souls Saved</t>
  </si>
  <si>
    <t>Complete the game on Normal</t>
  </si>
  <si>
    <t>Swing You Sinner</t>
  </si>
  <si>
    <t>Defeat the Devil</t>
  </si>
  <si>
    <t>Alive and Kicking</t>
  </si>
  <si>
    <t>Defeat a boss with Ms. Chalice</t>
  </si>
  <si>
    <t>Coffers Full</t>
  </si>
  <si>
    <t>Get every coin in all of the levels</t>
  </si>
  <si>
    <t>The Latest Sensation</t>
  </si>
  <si>
    <t>Defeat a boss with one of Porkrind's new weapons</t>
  </si>
  <si>
    <t>Selling Out</t>
  </si>
  <si>
    <t>Give in to the Devil</t>
  </si>
  <si>
    <t>Butter-and-Egg Man</t>
  </si>
  <si>
    <t>Buy everything in Porkrind's Shop</t>
  </si>
  <si>
    <t>Sheriff</t>
  </si>
  <si>
    <t>Obtain an A-Rank or higher on all bosses in Inkwell Isle I</t>
  </si>
  <si>
    <t>King</t>
  </si>
  <si>
    <t>Obtain an A-Rank or higher on all bosses in Inkwell Hell</t>
  </si>
  <si>
    <t>A Vacation in the Wilds</t>
  </si>
  <si>
    <t>Defeat every boss in Inkwell Isle IV</t>
  </si>
  <si>
    <t>Put On a Show</t>
  </si>
  <si>
    <t>Get an S-Rank</t>
  </si>
  <si>
    <t>Compliments to the Chef</t>
  </si>
  <si>
    <t>Complete your quest on Inkwell Isle IV</t>
  </si>
  <si>
    <t>Checkmate</t>
  </si>
  <si>
    <t>Defeat all of the King of Games' Champions</t>
  </si>
  <si>
    <t>High Roller</t>
  </si>
  <si>
    <t>Get every coin in the game</t>
  </si>
  <si>
    <t>Rolling Sixes</t>
  </si>
  <si>
    <t>Defeat King Dice without taking a hit</t>
  </si>
  <si>
    <t>A Horrible Night To Have a Curse</t>
  </si>
  <si>
    <t>Survive the nightmare</t>
  </si>
  <si>
    <t>Boss</t>
  </si>
  <si>
    <t>Obtain an A-Rank or higher on all bosses in Inkwell Isle II</t>
  </si>
  <si>
    <t>The Golden Touch</t>
  </si>
  <si>
    <t>Defeat a boss with one of Ms. Chalice's Super Arts</t>
  </si>
  <si>
    <t>Decadent</t>
  </si>
  <si>
    <t>Defeat 10 bosses with Ms. Chalice</t>
  </si>
  <si>
    <t>Mayor</t>
  </si>
  <si>
    <t>Obtain an A-Rank or higher on all bosses in Inkwell Isle III</t>
  </si>
  <si>
    <t>Pacifist</t>
  </si>
  <si>
    <t>Complete all levels without killing an enemy</t>
  </si>
  <si>
    <t>Hearty</t>
  </si>
  <si>
    <t>Have 9HP at one time</t>
  </si>
  <si>
    <t>Paladin</t>
  </si>
  <si>
    <t>Obtain great power</t>
  </si>
  <si>
    <t>Bravo Zulu P-26</t>
  </si>
  <si>
    <t>Defeat a boss using only the mini-plane bullets</t>
  </si>
  <si>
    <t>Beat The Devil At His Own Game</t>
  </si>
  <si>
    <t>Complete the game on Expert</t>
  </si>
  <si>
    <t>A King's Admiration</t>
  </si>
  <si>
    <t>Defeat the King's Gauntlet</t>
  </si>
  <si>
    <t>Ranger</t>
  </si>
  <si>
    <t>Obtain an A-Rank or Higher on all bosses in Inkwell Isle IV</t>
  </si>
  <si>
    <t>The High Hat</t>
  </si>
  <si>
    <t>Defeat a boss on Inkwell Isle IV without killing any of its minions</t>
  </si>
  <si>
    <t>Cooked to Perfection</t>
  </si>
  <si>
    <t>Get an S-Rank on a stage of Inkwell Isle IV</t>
  </si>
  <si>
    <t>Marker_ID</t>
  </si>
  <si>
    <t>Row Labels</t>
  </si>
  <si>
    <t>Grand Total</t>
  </si>
  <si>
    <t>Average of Percent</t>
  </si>
  <si>
    <t>Game Start</t>
  </si>
  <si>
    <t>First Boss</t>
  </si>
  <si>
    <t>Early Game</t>
  </si>
  <si>
    <t>Mid Game</t>
  </si>
  <si>
    <t>Final Boss</t>
  </si>
  <si>
    <t>DLC First Boss</t>
  </si>
  <si>
    <t>DLC Final Boss</t>
  </si>
  <si>
    <t>Start the Game. The earliest possible achievement you can get.</t>
  </si>
  <si>
    <t>Finish the Early Game. This is defined by me.</t>
  </si>
  <si>
    <t>Finish the Mid Game. This is defined by me.</t>
  </si>
  <si>
    <t>game_id</t>
  </si>
  <si>
    <t>game_link</t>
  </si>
  <si>
    <t>release_year</t>
  </si>
  <si>
    <t>Year</t>
  </si>
  <si>
    <t>Onimusha: Way of the Sword</t>
  </si>
  <si>
    <t>Onimusha Showdown</t>
  </si>
  <si>
    <t>Drive off Sasaki Ganryu.</t>
  </si>
  <si>
    <t>https://shared.fastly.steamstatic.com/community_assets/images/apps/2638890/0a1386e0b924db19aa90b5667dcec01a36511d48.jpg</t>
  </si>
  <si>
    <t>Get This Thing Off Me</t>
  </si>
  <si>
    <t>Absorb 30 or more souls at once.</t>
  </si>
  <si>
    <t>https://shared.fastly.steamstatic.com/community_assets/images/apps/2638890/6df5400daef82f23e33ff79dd4774dfa430fb0fd.jpg</t>
  </si>
  <si>
    <t>Get Stuffed</t>
  </si>
  <si>
    <t>Defeat Daidara.</t>
  </si>
  <si>
    <t>Looking Sharp</t>
  </si>
  <si>
    <t>Enhance a piece of equipment for the first time.</t>
  </si>
  <si>
    <t>Twisted Fates</t>
  </si>
  <si>
    <t>Defeat Rasho-gan.</t>
  </si>
  <si>
    <t>Berserker</t>
  </si>
  <si>
    <t>Defeat 3 enemies with continuous Break Issen attacks.</t>
  </si>
  <si>
    <t>Howling Wind</t>
  </si>
  <si>
    <t>Defeat Ifuu.</t>
  </si>
  <si>
    <t>Life-Saver</t>
  </si>
  <si>
    <t>Complete your first Chance Encounter.</t>
  </si>
  <si>
    <t>Dokyo's Fixation</t>
  </si>
  <si>
    <t>Defeat the Greater Nue.</t>
  </si>
  <si>
    <t>Second Helping</t>
  </si>
  <si>
    <t>Beat an opponent in a Boss Rematch.</t>
  </si>
  <si>
    <t>No Dog Left Behind</t>
  </si>
  <si>
    <t>Rescue your first Lion Dog.</t>
  </si>
  <si>
    <t>Mystery Solved</t>
  </si>
  <si>
    <t>Complete your first Mystery of Kyoto.</t>
  </si>
  <si>
    <t>Winning Is What Matters</t>
  </si>
  <si>
    <t>Carry out 50 attacks with environmental objects.</t>
  </si>
  <si>
    <t>A Real Charmer</t>
  </si>
  <si>
    <t>Enhance a charm to the maximum level.</t>
  </si>
  <si>
    <t>Benkei: Out, but Not Down</t>
  </si>
  <si>
    <t>Defeat Benkei.</t>
  </si>
  <si>
    <t>Serves You Right</t>
  </si>
  <si>
    <t>Defeat the Byakue at Kiyomizu-dera Temple.</t>
  </si>
  <si>
    <t>Helm Splitter</t>
  </si>
  <si>
    <t>Break 100 shields or pieces of enemy armor.</t>
  </si>
  <si>
    <t>Crashing Lightning</t>
  </si>
  <si>
    <t>Defeat Burai.</t>
  </si>
  <si>
    <t>Burning Blade</t>
  </si>
  <si>
    <t>Defeat 50 foes while in the Blazing State.</t>
  </si>
  <si>
    <t>Untouchable</t>
  </si>
  <si>
    <t>Perform 50 Grab Reversals.</t>
  </si>
  <si>
    <t>Coming Through!</t>
  </si>
  <si>
    <t>Break an enemy's guard 50 times.</t>
  </si>
  <si>
    <t>Selfish Selflessness</t>
  </si>
  <si>
    <t>Rescue a merchant that's being attacked by Genma.</t>
  </si>
  <si>
    <t>Brutalist</t>
  </si>
  <si>
    <t>Land 50 Issen attacks.</t>
  </si>
  <si>
    <t>Wide Awake</t>
  </si>
  <si>
    <t>Defeat Shuten Doji.</t>
  </si>
  <si>
    <t>Health Is Wealth</t>
  </si>
  <si>
    <t>Enhance a Hozuki Pouch to the maximum level.</t>
  </si>
  <si>
    <t>The Perfect Storm</t>
  </si>
  <si>
    <t>Defeat Ifuu and Burai.</t>
  </si>
  <si>
    <t>Deadeye</t>
  </si>
  <si>
    <t>Score 100 headshots with your bow.</t>
  </si>
  <si>
    <t>Stop Motion</t>
  </si>
  <si>
    <t>Perform 50 Reflex Combos.</t>
  </si>
  <si>
    <t>We Done Here?</t>
  </si>
  <si>
    <t>Defeat Sasaki Ganryu at Arashiyama.</t>
  </si>
  <si>
    <t>Pinch Hitter</t>
  </si>
  <si>
    <t>Deflect 50 projectiles.</t>
  </si>
  <si>
    <t>Silent Violence</t>
  </si>
  <si>
    <t>Assassinate 20 enemies.</t>
  </si>
  <si>
    <t>End This Madness</t>
  </si>
  <si>
    <t>Defeat Dokyo.</t>
  </si>
  <si>
    <t>Demystified</t>
  </si>
  <si>
    <t>Complete all Mysteries of Kyoto.</t>
  </si>
  <si>
    <t>Baited by Benkei</t>
  </si>
  <si>
    <t>Defeat Benkei at Rendaino.</t>
  </si>
  <si>
    <t>Oni Armory</t>
  </si>
  <si>
    <t>Acquire all Oni Armaments.</t>
  </si>
  <si>
    <t>Truly, Thank You</t>
  </si>
  <si>
    <t>Defeat Minamoto no Yoshitsune.</t>
  </si>
  <si>
    <t>No Job Too Small</t>
  </si>
  <si>
    <t>Complete all Chance Encounters.</t>
  </si>
  <si>
    <t>For the Love of Dog</t>
  </si>
  <si>
    <t>Rescue all the Lion Dogs.</t>
  </si>
  <si>
    <t>Wielder of Oni Armaments</t>
  </si>
  <si>
    <t>Defeat 100 enemies with Oni Armaments.</t>
  </si>
  <si>
    <t>The Winding Way of the Sword</t>
  </si>
  <si>
    <t>Learn and upgrade all basic or special skills.</t>
  </si>
  <si>
    <t>Enhance all equipment to the maximum level.</t>
  </si>
  <si>
    <t>Well-Rounded</t>
  </si>
  <si>
    <t>Learn and upgrade all basic and special skills.</t>
  </si>
  <si>
    <t>Flow State</t>
  </si>
  <si>
    <t>Defeat 50 enemies with Chain Issen attacks.</t>
  </si>
  <si>
    <t>Citizen Savior</t>
  </si>
  <si>
    <t>Rescue 30 townspeople from marauding Genma.</t>
  </si>
  <si>
    <t>Oni's Oni</t>
  </si>
  <si>
    <t>Defeat 50 enemies in the Oni Awakened state.</t>
  </si>
  <si>
    <t>Medical Marvel</t>
  </si>
  <si>
    <t>Enhance all Hozuki Pouches to the maximum level.</t>
  </si>
  <si>
    <t>Genma Griller</t>
  </si>
  <si>
    <t>Set three enemies ablaze at once.</t>
  </si>
  <si>
    <t>Charmed Life</t>
  </si>
  <si>
    <t>Enhance all charms to the maximum level.</t>
  </si>
  <si>
    <t>Genma-ologist</t>
  </si>
  <si>
    <t>Collect all the Genma notes.</t>
  </si>
  <si>
    <t>True Onimusha</t>
  </si>
  <si>
    <t>Complete the game on difficulty level "Carnage".</t>
  </si>
  <si>
    <t>Glutton for Punishment</t>
  </si>
  <si>
    <t>Beat all Boss Rematch opponents on all difficulty levels.</t>
  </si>
  <si>
    <t>Peerless</t>
  </si>
  <si>
    <t>Unlock all achievements.</t>
  </si>
  <si>
    <t>sales_vg_insights</t>
  </si>
  <si>
    <t>Nine Sols</t>
  </si>
  <si>
    <t>My Revenge Starts Here</t>
  </si>
  <si>
    <t>Defeat Baichang.</t>
  </si>
  <si>
    <t>https://shared.fastly.steamstatic.com/community_assets/images/apps/1809540/ca9a9a14d38e544a2edb077827f195baae480558.jpg</t>
  </si>
  <si>
    <t>I'm Coming for You, Old Friend</t>
  </si>
  <si>
    <t>Defeat Yingzhao.</t>
  </si>
  <si>
    <t>https://shared.fastly.steamstatic.com/community_assets/images/apps/1809540/034d35829e92d3ebd7743eff871e3111999aa2f9.jpg</t>
  </si>
  <si>
    <t>Reap What You Sow</t>
  </si>
  <si>
    <t>Defeat Goumang.</t>
  </si>
  <si>
    <t>You Should Respect Your Elders</t>
  </si>
  <si>
    <t>Defeat Yanlao.</t>
  </si>
  <si>
    <t>Jail Break</t>
  </si>
  <si>
    <t>Successfully escape from prison.</t>
  </si>
  <si>
    <t>No Pain, No Gain</t>
  </si>
  <si>
    <t>Defeat Jiequan.</t>
  </si>
  <si>
    <t>Wake Up From My Sin</t>
  </si>
  <si>
    <t>Defeat Lady Ethereal.</t>
  </si>
  <si>
    <t>The Cavalry's Here</t>
  </si>
  <si>
    <t>Rescue the people of the Peach Blossom Village.</t>
  </si>
  <si>
    <t>Do Re Mi So La</t>
  </si>
  <si>
    <t>Unravel the mystery of the Daybreak Tower's music sheet.</t>
  </si>
  <si>
    <t>Come, Sweet Death</t>
  </si>
  <si>
    <t>Defeat Ji.</t>
  </si>
  <si>
    <t>We Have Each Other</t>
  </si>
  <si>
    <t>Defeat Fuxi and Nuwa.</t>
  </si>
  <si>
    <t>Gimme Gimme</t>
  </si>
  <si>
    <t>Establish a deep relationship with Shuanshuan.</t>
  </si>
  <si>
    <t>Across Time and Space</t>
  </si>
  <si>
    <t>Bid farewell to Lear.</t>
  </si>
  <si>
    <t>Magical Bean</t>
  </si>
  <si>
    <t>Help Shuanshuan unlock the true potential of agriculture.</t>
  </si>
  <si>
    <t>Fight Dirty</t>
  </si>
  <si>
    <t>Use the Gene Eradicator to fight Jiequan.</t>
  </si>
  <si>
    <t>You Bastard...</t>
  </si>
  <si>
    <t>Obtain map data from Shanhai 9000 by force.</t>
  </si>
  <si>
    <t>Stonks!</t>
  </si>
  <si>
    <t>Recycle Shuanshuan's coin.</t>
  </si>
  <si>
    <t>Evolution</t>
  </si>
  <si>
    <t>Discover a tremendous secret.</t>
  </si>
  <si>
    <t>Learned From the Best</t>
  </si>
  <si>
    <t>Defeat Eigong.</t>
  </si>
  <si>
    <t>One Man Army</t>
  </si>
  <si>
    <t>Defeat every optional miniboss.</t>
  </si>
  <si>
    <t>I'm Yi, I Have a Drinking Problem</t>
  </si>
  <si>
    <t>Drink all the wine brewed by Shennong.</t>
  </si>
  <si>
    <t>Blessed Messages</t>
  </si>
  <si>
    <t>Discover the message board for blessings upon the Departure of New Kunlun's Voyage.</t>
  </si>
  <si>
    <t>Passing on the Torch</t>
  </si>
  <si>
    <t>Help Shennong become the leader of Peach Blossom Village.</t>
  </si>
  <si>
    <t>Fight Through Hardship</t>
  </si>
  <si>
    <t>Finish Nine Sols on Standard Mode.</t>
  </si>
  <si>
    <t>The Warrior Within</t>
  </si>
  <si>
    <t>Master all skills in the skill tree.</t>
  </si>
  <si>
    <t>Well Prepared</t>
  </si>
  <si>
    <t>Collect every Jade.</t>
  </si>
  <si>
    <t>Home Sweet Home</t>
  </si>
  <si>
    <t>Return to the home world of Solarian.</t>
  </si>
  <si>
    <t>Found You</t>
  </si>
  <si>
    <t>Help Shanhai 9000 find Chien.</t>
  </si>
  <si>
    <t>Shooting Star</t>
  </si>
  <si>
    <t>Witness the end of New Kunlun.</t>
  </si>
  <si>
    <t>My Most Trusted Friend</t>
  </si>
  <si>
    <t>Max out the ammo capacity of the Azure Bow and obtain Cloud Piercer X, Thunder Buster X, and Shadow Hunter X.</t>
  </si>
  <si>
    <t>Rest for the Wicked</t>
  </si>
  <si>
    <t>Help Chiyou bring peace to Xingtian.</t>
  </si>
  <si>
    <t>What Have You Done?!</t>
  </si>
  <si>
    <t>Break the clay pot made by Shuanshuan</t>
  </si>
  <si>
    <t>Repurposed</t>
  </si>
  <si>
    <t>Use the Fortune teller machine crafted by Shuanshuan.</t>
  </si>
  <si>
    <t>Treasure Hunter</t>
  </si>
  <si>
    <t>Find all resources and information marked by Shanhai 9000.</t>
  </si>
  <si>
    <t>Robo Fight!</t>
  </si>
  <si>
    <t>Defeat Tianshou while driving a robot.</t>
  </si>
  <si>
    <t>Dark Souls III</t>
  </si>
  <si>
    <t>Enkindle</t>
  </si>
  <si>
    <t>Light a bonfire flame for the first time.</t>
  </si>
  <si>
    <t>https://shared.fastly.steamstatic.com/community_assets/images/apps/374320/1595b7bf2058e67673875eedb18e3d1838460d67.jpg</t>
  </si>
  <si>
    <t>Embrace the Flame</t>
  </si>
  <si>
    <t>Become a Host of Embers for the first time.</t>
  </si>
  <si>
    <t>https://shared.fastly.steamstatic.com/community_assets/images/apps/374320/512e7a3273961258de448adf58b89370f2cb26f6.jpg</t>
  </si>
  <si>
    <t>Iudex Gundyr</t>
  </si>
  <si>
    <t>Defeat Iudex Gundyr.</t>
  </si>
  <si>
    <t>Vordt of the Boreal Valley</t>
  </si>
  <si>
    <t>Defeat Vordt of the Boreal Valley.</t>
  </si>
  <si>
    <t>Covenant: Way of Blue</t>
  </si>
  <si>
    <t>Discover Way of Blue covenant.</t>
  </si>
  <si>
    <t>Curse-rotted Greatwood</t>
  </si>
  <si>
    <t>Defeat the Curse-rotted Greatwood.</t>
  </si>
  <si>
    <t>Covenant: Blue Sentinels</t>
  </si>
  <si>
    <t>Discover Blue Sentinels covenant.</t>
  </si>
  <si>
    <t>Crystal Sage</t>
  </si>
  <si>
    <t>Defeat Crystal Sage.</t>
  </si>
  <si>
    <t>Lords of Cinder: Abyss Watchers</t>
  </si>
  <si>
    <t>Defeat the Abyss Watchers, Lords of Cinder.</t>
  </si>
  <si>
    <t>Deacons of the Deep</t>
  </si>
  <si>
    <t>Defeat the Deacons of the Deep.</t>
  </si>
  <si>
    <t>High Lord Wolnir</t>
  </si>
  <si>
    <t>Defeat High Lord Wolnir.</t>
  </si>
  <si>
    <t>Covenant: Warrior of Sunlight</t>
  </si>
  <si>
    <t>Discover Warrior of Sunlight covenant.</t>
  </si>
  <si>
    <t>Pontiff Sulyvahn</t>
  </si>
  <si>
    <t>Defeat Pontiff Sulyvahn.</t>
  </si>
  <si>
    <t>Covenant: Watchdogs of Farron</t>
  </si>
  <si>
    <t>Discover Watchdogs of Farron covenant.</t>
  </si>
  <si>
    <t>Dancer of the Boreal Valley</t>
  </si>
  <si>
    <t>Defeat Dancer of the Boreal Valley.</t>
  </si>
  <si>
    <t>Lord of Cinder: Aldrich, Devourer of Gods</t>
  </si>
  <si>
    <t>Defeat Aldrich, Devourer of Gods, Lord of Cinder.</t>
  </si>
  <si>
    <t>Lord of Cinder: Yhorm the Giant</t>
  </si>
  <si>
    <t>Defeat Yhorm the Giant, Lord of Cinder.</t>
  </si>
  <si>
    <t>Old Demon King</t>
  </si>
  <si>
    <t>Defeat Old Demon King.</t>
  </si>
  <si>
    <t>Dragonslayer Armour</t>
  </si>
  <si>
    <t>Defeat Dragonslayer Armour.</t>
  </si>
  <si>
    <t>Oceiros, the Consumed King</t>
  </si>
  <si>
    <t>Defeat Oceiros, the Consumed King.</t>
  </si>
  <si>
    <t>Untended Graves</t>
  </si>
  <si>
    <t>Reach the Untended Graves.</t>
  </si>
  <si>
    <t>Covenant: Rosaria's Fingers</t>
  </si>
  <si>
    <t>Discover Rosaria's Fingers covenant.</t>
  </si>
  <si>
    <t>Lord of Cinder: Lothric, Younger Prince</t>
  </si>
  <si>
    <t>Defeat Lothric, Younger Prince, Lord of Cinder.</t>
  </si>
  <si>
    <t>Champion Gundyr</t>
  </si>
  <si>
    <t>Defeat Champion Gundyr.</t>
  </si>
  <si>
    <t>Supreme Weapon Reinforcement</t>
  </si>
  <si>
    <t>Reinforce any weapon to the highest level.</t>
  </si>
  <si>
    <t>Archdragon Peak</t>
  </si>
  <si>
    <t>Reach Archdragon Peak.</t>
  </si>
  <si>
    <t>Ancient Wyvern</t>
  </si>
  <si>
    <t>Defeat Ancient Wyvern.</t>
  </si>
  <si>
    <t>The Nameless King</t>
  </si>
  <si>
    <t>Defeat Nameless King.</t>
  </si>
  <si>
    <t>Covenant: Mound-makers</t>
  </si>
  <si>
    <t>Discover Mound-makers covenant.</t>
  </si>
  <si>
    <t>Covenant: Aldrich Faithful</t>
  </si>
  <si>
    <t>Discover Aldrich Faithful covenant.</t>
  </si>
  <si>
    <t>Ultimate Bonfire</t>
  </si>
  <si>
    <t>Reinforce a bonfire to the highest level.</t>
  </si>
  <si>
    <t>Covenant: Blade of the Darkmoon</t>
  </si>
  <si>
    <t>Discover Blade of the Darkmoon covenant.</t>
  </si>
  <si>
    <t>Ultimate Estus</t>
  </si>
  <si>
    <t>Reinforce the Estus Flask to the highest level.</t>
  </si>
  <si>
    <t>To Link the First Flame</t>
  </si>
  <si>
    <t>Reach "To Link the First Flame" ending.</t>
  </si>
  <si>
    <t>The End of Fire</t>
  </si>
  <si>
    <t>Reach "The End of Fire" ending.</t>
  </si>
  <si>
    <t>The Usurpation of Fire</t>
  </si>
  <si>
    <t>Reach "The Usurpation of Fire" ending.</t>
  </si>
  <si>
    <t>Master of Infusion</t>
  </si>
  <si>
    <t>Perform all forms of infusion.</t>
  </si>
  <si>
    <t>Master of Sorceries</t>
  </si>
  <si>
    <t>Acquire all sorceries.</t>
  </si>
  <si>
    <t>Master of Pyromancies</t>
  </si>
  <si>
    <t>Acquire all pyromancies.</t>
  </si>
  <si>
    <t>Master of Miracles</t>
  </si>
  <si>
    <t>Acquire all miracles.</t>
  </si>
  <si>
    <t>Master of Expression</t>
  </si>
  <si>
    <t>Master of Rings</t>
  </si>
  <si>
    <t>Acquire all rings.</t>
  </si>
  <si>
    <t>The Dark Soul</t>
  </si>
  <si>
    <t>Complete all achievements.</t>
  </si>
  <si>
    <t>Last point before multiple endings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</si>
</sst>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  <xf numFmtId="9" fontId="0" fillId="0" borderId="0" xfId="2" applyFont="1"/>
    <xf numFmtId="9" fontId="0" fillId="0" borderId="0" xfId="2" applyFont="1" applyBorder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3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Border="1"/>
    <xf numFmtId="0" fontId="0" fillId="0" borderId="0" xfId="0" applyNumberFormat="1" applyBorder="1"/>
  </cellXfs>
  <cellStyles count="3">
    <cellStyle name="Hyperlink" xfId="1" builtinId="8"/>
    <cellStyle name="Normal" xfId="0" builtinId="0"/>
    <cellStyle name="Percent" xfId="2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 Achievements Stable.xlsx]Sheet2!PivotTable1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 Challenging </a:t>
            </a:r>
            <a:r>
              <a:rPr lang="en-US" baseline="0"/>
              <a:t>Games by Steam Player Progress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Sheet2!$A$2:$A$12</c:f>
              <c:multiLvlStrCache>
                <c:ptCount val="5"/>
                <c:lvl>
                  <c:pt idx="0">
                    <c:v>Game Start</c:v>
                  </c:pt>
                  <c:pt idx="1">
                    <c:v>First Boss</c:v>
                  </c:pt>
                  <c:pt idx="2">
                    <c:v>Early Game</c:v>
                  </c:pt>
                  <c:pt idx="3">
                    <c:v>Mid Game</c:v>
                  </c:pt>
                  <c:pt idx="4">
                    <c:v>Final Boss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Sheet2!$B$2:$B$12</c:f>
              <c:numCache>
                <c:formatCode>0%</c:formatCode>
                <c:ptCount val="5"/>
                <c:pt idx="0">
                  <c:v>0.91887499999999989</c:v>
                </c:pt>
                <c:pt idx="1">
                  <c:v>0.76475000000000015</c:v>
                </c:pt>
                <c:pt idx="2">
                  <c:v>0.6056666666666668</c:v>
                </c:pt>
                <c:pt idx="3">
                  <c:v>0.47699999999999992</c:v>
                </c:pt>
                <c:pt idx="4">
                  <c:v>0.36000000000000004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2-41F5-94E5-CA46EBE2D7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142031"/>
        <c:axId val="200145775"/>
      </c:lineChart>
      <c:catAx>
        <c:axId val="19914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45775"/>
        <c:crosses val="autoZero"/>
        <c:auto val="1"/>
        <c:lblAlgn val="ctr"/>
        <c:lblOffset val="100"/>
        <c:noMultiLvlLbl val="0"/>
      </c:catAx>
      <c:valAx>
        <c:axId val="20014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4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15240</xdr:rowOff>
    </xdr:from>
    <xdr:to>
      <xdr:col>13</xdr:col>
      <xdr:colOff>441960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9C419-BFA0-6038-2365-8BC0902D0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J" refreshedDate="46273.511479976849" createdVersion="8" refreshedVersion="8" minRefreshableVersion="3" recordCount="619" xr:uid="{7B1CB2A6-93A7-4D5E-BEEA-927BE12CA4D9}">
  <cacheSource type="worksheet">
    <worksheetSource name="Table1"/>
  </cacheSource>
  <cacheFields count="9">
    <cacheField name="Column1" numFmtId="0">
      <sharedItems containsSemiMixedTypes="0" containsString="0" containsNumber="1" containsInteger="1" minValue="0" maxValue="521"/>
    </cacheField>
    <cacheField name="Game" numFmtId="0">
      <sharedItems/>
    </cacheField>
    <cacheField name="Name" numFmtId="0">
      <sharedItems/>
    </cacheField>
    <cacheField name="Description" numFmtId="0">
      <sharedItems/>
    </cacheField>
    <cacheField name="Percent" numFmtId="9">
      <sharedItems containsSemiMixedTypes="0" containsString="0" containsNumber="1" minValue="1.2E-2" maxValue="0.97699999999999998"/>
    </cacheField>
    <cacheField name="Image_Link" numFmtId="0">
      <sharedItems/>
    </cacheField>
    <cacheField name="Marker" numFmtId="0">
      <sharedItems containsBlank="1" count="16">
        <s v="Game Start"/>
        <s v="First Boss"/>
        <m/>
        <s v="Early Game"/>
        <s v="Mid Game"/>
        <s v="Final Boss"/>
        <s v="DLC First Boss"/>
        <s v="DLC Final Boss"/>
        <s v="Game_Start" u="1"/>
        <s v="First_Boss" u="1"/>
        <s v="Early_Game" u="1"/>
        <s v="Mid_Game" u="1"/>
        <s v="Final_Boss" u="1"/>
        <s v="DLC_First_Boss" u="1"/>
        <s v="DLC_Final_Boss" u="1"/>
        <s v="DLC_Final Boss" u="1"/>
      </sharedItems>
    </cacheField>
    <cacheField name="Marker_ID" numFmtId="0">
      <sharedItems containsSemiMixedTypes="0" containsString="0" containsNumber="1" containsInteger="1" minValue="-1" maxValue="7" count="8">
        <n v="1"/>
        <n v="2"/>
        <n v="-1"/>
        <n v="3"/>
        <n v="4"/>
        <n v="5"/>
        <n v="6"/>
        <n v="7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">
  <r>
    <n v="0"/>
    <s v="Black Myth Wukong"/>
    <s v="Home is Behind"/>
    <s v="The old monkey has told his tale. Onward you must go."/>
    <n v="0.97699999999999998"/>
    <s v="https://shared.fastly.steamstatic.com/community_assets/images/apps/2358720/17dcc00a299e2c211217a15afff28248dc79ef7a.jpg"/>
    <x v="0"/>
    <x v="0"/>
    <m/>
  </r>
  <r>
    <n v="1"/>
    <s v="Black Myth Wukong"/>
    <s v="Warring with Wolves"/>
    <s v="False is his name. Slay him all the same!"/>
    <n v="0.85"/>
    <s v="https://shared.fastly.steamstatic.com/community_assets/images/apps/2358720/cf52ec300e1eb11164aba082a69973b746872f67.jpg"/>
    <x v="1"/>
    <x v="1"/>
    <m/>
  </r>
  <r>
    <n v="2"/>
    <s v="Black Myth Wukong"/>
    <s v="Hammer and Hew"/>
    <s v="Armed head to toe, dread not the foe."/>
    <n v="0.84799999999999998"/>
    <s v="data:,"/>
    <x v="2"/>
    <x v="2"/>
    <m/>
  </r>
  <r>
    <n v="3"/>
    <s v="Black Myth Wukong"/>
    <s v="Absorb and Cultivate"/>
    <s v="Consume those who had consumed."/>
    <n v="0.83799999999999997"/>
    <s v="data:,"/>
    <x v="2"/>
    <x v="2"/>
    <m/>
  </r>
  <r>
    <n v="4"/>
    <s v="Black Myth Wukong"/>
    <s v="Brew of Bravery"/>
    <s v="Fresh brew in an old cask. May it stir a great task!"/>
    <n v="0.81400000000000006"/>
    <s v="data:,"/>
    <x v="2"/>
    <x v="2"/>
    <m/>
  </r>
  <r>
    <n v="5"/>
    <s v="Black Myth Wukong"/>
    <s v="Slithering Snake"/>
    <s v="The white-clad one pled his case. Spare him some days of grace."/>
    <n v="0.80599999999999994"/>
    <s v="data:,"/>
    <x v="2"/>
    <x v="2"/>
    <m/>
  </r>
  <r>
    <n v="6"/>
    <s v="Black Myth Wukong"/>
    <s v="Handy and Hardy"/>
    <s v="A good match calls for a good weapon."/>
    <n v="0.78900000000000003"/>
    <s v="data:,"/>
    <x v="2"/>
    <x v="2"/>
    <m/>
  </r>
  <r>
    <n v="7"/>
    <s v="Black Myth Wukong"/>
    <s v="Blazing Black Wind"/>
    <s v="Of all things to learn, you chose to play with fire?"/>
    <n v="0.78400000000000003"/>
    <s v="data:,"/>
    <x v="2"/>
    <x v="2"/>
    <m/>
  </r>
  <r>
    <n v="8"/>
    <s v="Black Myth Wukong"/>
    <s v="Enduring Echoes"/>
    <s v="Three bells sound, lost souls bound."/>
    <n v="0.75099999999999989"/>
    <s v="data:,"/>
    <x v="2"/>
    <x v="2"/>
    <m/>
  </r>
  <r>
    <n v="9"/>
    <s v="Black Myth Wukong"/>
    <s v="Temple of Taint"/>
    <s v="Now at an end is the elder's long wait for the journeyer."/>
    <n v="0.746"/>
    <s v="data:,"/>
    <x v="2"/>
    <x v="2"/>
    <m/>
  </r>
  <r>
    <n v="10"/>
    <s v="Black Myth Wukong"/>
    <s v="Cursed Clan"/>
    <s v="A whole nest of rats scatters and falls."/>
    <n v="0.74199999999999999"/>
    <s v="data:,"/>
    <x v="2"/>
    <x v="2"/>
    <m/>
  </r>
  <r>
    <n v="11"/>
    <s v="Black Myth Wukong"/>
    <s v="The Stone's Secret"/>
    <s v="This odd boulder has something curious inside."/>
    <n v="0.71599999999999997"/>
    <s v="data:,"/>
    <x v="2"/>
    <x v="2"/>
    <m/>
  </r>
  <r>
    <n v="12"/>
    <s v="Black Myth Wukong"/>
    <s v="Creative Concoction"/>
    <s v="Tonics are well and good, but not to be wolfed like food!"/>
    <n v="0.70599999999999996"/>
    <s v="data:,"/>
    <x v="2"/>
    <x v="2"/>
    <m/>
  </r>
  <r>
    <n v="13"/>
    <s v="Black Myth Wukong"/>
    <s v="A Great Gust"/>
    <s v="There will be more sages if their maker still engages."/>
    <n v="0.68099999999999994"/>
    <s v="data:,"/>
    <x v="3"/>
    <x v="3"/>
    <m/>
  </r>
  <r>
    <n v="14"/>
    <s v="Black Myth Wukong"/>
    <s v="Voice Vanquished"/>
    <s v="Red eyes mark wrong chants. The scripture needs amends."/>
    <n v="0.6409999999999999"/>
    <s v="data:,"/>
    <x v="2"/>
    <x v="2"/>
    <m/>
  </r>
  <r>
    <n v="15"/>
    <s v="Black Myth Wukong"/>
    <s v="Gleams of Gold"/>
    <s v="The drunk said there's gold here. Do you believe him?"/>
    <n v="0.63900000000000001"/>
    <s v="data:,"/>
    <x v="2"/>
    <x v="2"/>
    <m/>
  </r>
  <r>
    <n v="16"/>
    <s v="Black Myth Wukong"/>
    <s v="Shifting Sands"/>
    <s v="The beetle came with drumbeats' call, and left with waves' gentle fall."/>
    <n v="0.63700000000000001"/>
    <s v="data:,"/>
    <x v="2"/>
    <x v="2"/>
    <m/>
  </r>
  <r>
    <n v="17"/>
    <s v="Black Myth Wukong"/>
    <s v="Karma of Kang-Jin"/>
    <s v="Now one less dwells in the dome of stars."/>
    <n v="0.63100000000000001"/>
    <s v="data:,"/>
    <x v="2"/>
    <x v="2"/>
    <m/>
  </r>
  <r>
    <n v="18"/>
    <s v="Black Myth Wukong"/>
    <s v="Death in Despair"/>
    <s v="Resonant waves profound, he is now buried in the ground."/>
    <n v="0.61899999999999999"/>
    <s v="data:,"/>
    <x v="2"/>
    <x v="2"/>
    <m/>
  </r>
  <r>
    <n v="19"/>
    <s v="Black Myth Wukong"/>
    <s v="Cage of Claws"/>
    <s v="Smoke rises high, his doom shall arrive."/>
    <n v="0.61099999999999999"/>
    <s v="data:,"/>
    <x v="2"/>
    <x v="2"/>
    <m/>
  </r>
  <r>
    <n v="20"/>
    <s v="Black Myth Wukong"/>
    <s v="Precious Pills"/>
    <s v="In furnace there is fire, and in fire there are pills."/>
    <n v="0.60799999999999998"/>
    <s v="data:,"/>
    <x v="2"/>
    <x v="2"/>
    <m/>
  </r>
  <r>
    <n v="21"/>
    <s v="Black Myth Wukong"/>
    <s v="Sound in Stone"/>
    <s v="No words of kind. Pay them no mind."/>
    <n v="0.60499999999999998"/>
    <s v="data:,"/>
    <x v="2"/>
    <x v="2"/>
    <m/>
  </r>
  <r>
    <n v="22"/>
    <s v="Black Myth Wukong"/>
    <s v="Oṃ Maṇi Padme Hūm"/>
    <s v="Search each Buddha's head; in this perilous land, stones reside."/>
    <n v="0.60099999999999998"/>
    <s v="data:,"/>
    <x v="2"/>
    <x v="2"/>
    <m/>
  </r>
  <r>
    <n v="23"/>
    <s v="Black Myth Wukong"/>
    <s v="Matches with the Macaque"/>
    <s v="You don't need to wait for the perfect moment to soar to greater heights."/>
    <n v="0.59200000000000008"/>
    <s v="data:,"/>
    <x v="2"/>
    <x v="2"/>
    <m/>
  </r>
  <r>
    <n v="24"/>
    <s v="Black Myth Wukong"/>
    <s v="Nifty Nonsense"/>
    <s v="The fat monk failed, for he spoke too much."/>
    <n v="0.59"/>
    <s v="data:,"/>
    <x v="2"/>
    <x v="2"/>
    <m/>
  </r>
  <r>
    <n v="25"/>
    <s v="Black Myth Wukong"/>
    <s v="Mud on His Face"/>
    <s v="An odd yaoguai killed, an odd mirror earned."/>
    <n v="0.56700000000000006"/>
    <s v="data:,"/>
    <x v="2"/>
    <x v="2"/>
    <m/>
  </r>
  <r>
    <n v="26"/>
    <s v="Black Myth Wukong"/>
    <s v="Boundless Bitterness"/>
    <s v="Evening light on snow, rigidity ends in woe."/>
    <n v="0.56600000000000006"/>
    <s v="data:,"/>
    <x v="2"/>
    <x v="2"/>
    <m/>
  </r>
  <r>
    <n v="27"/>
    <s v="Black Myth Wukong"/>
    <s v="Secret in the Scroll"/>
    <s v="Near the hut the crops thrive; in the Painted Realm, their hearts lie."/>
    <n v="0.55700000000000005"/>
    <s v="data:,"/>
    <x v="2"/>
    <x v="2"/>
    <m/>
  </r>
  <r>
    <n v="28"/>
    <s v="Black Myth Wukong"/>
    <s v="Buried in the Sand"/>
    <s v="The tiger, the child, both lost in the wild."/>
    <n v="0.55600000000000005"/>
    <s v="data:,"/>
    <x v="2"/>
    <x v="2"/>
    <m/>
  </r>
  <r>
    <n v="29"/>
    <s v="Black Myth Wukong"/>
    <s v="Gnashing Grudge"/>
    <s v="Harsh, rash, ever unquelled. Rank, dank, muck-impelled."/>
    <n v="0.55399999999999994"/>
    <s v="data:,"/>
    <x v="2"/>
    <x v="2"/>
    <m/>
  </r>
  <r>
    <n v="30"/>
    <s v="Black Myth Wukong"/>
    <s v="The Tiger Family"/>
    <s v="The brothers and their father. You've met them all."/>
    <n v="0.55200000000000005"/>
    <s v="data:,"/>
    <x v="2"/>
    <x v="2"/>
    <m/>
  </r>
  <r>
    <n v="31"/>
    <s v="Black Myth Wukong"/>
    <s v="Passion Passes"/>
    <s v="Not even one of them looked back."/>
    <n v="0.55100000000000005"/>
    <s v="data:,"/>
    <x v="2"/>
    <x v="2"/>
    <m/>
  </r>
  <r>
    <n v="32"/>
    <s v="Black Myth Wukong"/>
    <s v="Marvelous Melon"/>
    <s v="A quirky man, a vanished melon patch; a marvelous spell, and an unexpected meeting."/>
    <n v="0.53900000000000003"/>
    <s v="data:,"/>
    <x v="2"/>
    <x v="2"/>
    <m/>
  </r>
  <r>
    <n v="33"/>
    <s v="Black Myth Wukong"/>
    <s v="Behold the Betrayal"/>
    <s v="More eyes do not see more than the mortal trifles."/>
    <n v="0.53"/>
    <s v="data:,"/>
    <x v="4"/>
    <x v="4"/>
    <m/>
  </r>
  <r>
    <n v="34"/>
    <s v="Black Myth Wukong"/>
    <s v="The Soaring Slash"/>
    <s v="A mere test of skill turned into a fight for the kill."/>
    <n v="0.52900000000000003"/>
    <s v="data:,"/>
    <x v="2"/>
    <x v="2"/>
    <m/>
  </r>
  <r>
    <n v="35"/>
    <s v="Black Myth Wukong"/>
    <s v="Shell and Scales"/>
    <s v="To die is as woeful as to live alone."/>
    <n v="0.51600000000000001"/>
    <s v="data:,"/>
    <x v="2"/>
    <x v="2"/>
    <m/>
  </r>
  <r>
    <n v="36"/>
    <s v="Black Myth Wukong"/>
    <s v="The Furnace Boy"/>
    <s v="Ha! A devoted Daoist should not be so polished!"/>
    <n v="0.51500000000000001"/>
    <s v="data:,"/>
    <x v="2"/>
    <x v="2"/>
    <m/>
  </r>
  <r>
    <n v="37"/>
    <s v="Black Myth Wukong"/>
    <s v="Secret in Purple Cloud"/>
    <s v="&quot;What use are eight arms against twenty strikes with my staff?&quot;"/>
    <n v="0.51300000000000001"/>
    <s v="data:,"/>
    <x v="2"/>
    <x v="2"/>
    <m/>
  </r>
  <r>
    <n v="38"/>
    <s v="Black Myth Wukong"/>
    <s v="Flaming Fury"/>
    <s v="The golden child brought fire and smoke; when they cleared, the family broke."/>
    <n v="0.50700000000000001"/>
    <s v="data:,"/>
    <x v="2"/>
    <x v="2"/>
    <m/>
  </r>
  <r>
    <n v="39"/>
    <s v="Black Myth Wukong"/>
    <s v="The Cockerel Crowed"/>
    <s v="Long and short, far and near, each span has its year."/>
    <n v="0.504"/>
    <s v="data:,"/>
    <x v="2"/>
    <x v="2"/>
    <m/>
  </r>
  <r>
    <n v="40"/>
    <s v="Black Myth Wukong"/>
    <s v="Happy Harvest"/>
    <s v="Fields kept trim leave time to skim."/>
    <n v="0.503"/>
    <s v="data:,"/>
    <x v="2"/>
    <x v="2"/>
    <m/>
  </r>
  <r>
    <n v="41"/>
    <s v="Black Myth Wukong"/>
    <s v="The Cloud Claimed"/>
    <s v="Wings alone pale beside this greater gift!"/>
    <n v="0.502"/>
    <s v="data:,"/>
    <x v="2"/>
    <x v="2"/>
    <m/>
  </r>
  <r>
    <n v="42"/>
    <s v="Black Myth Wukong"/>
    <s v="Corrupted Captains"/>
    <s v="How mighty would those four spirits be if I could harness their power?"/>
    <n v="0.49700000000000005"/>
    <s v="data:,"/>
    <x v="2"/>
    <x v="2"/>
    <m/>
  </r>
  <r>
    <n v="43"/>
    <s v="Black Myth Wukong"/>
    <s v="The Loong Pattern"/>
    <s v="In the air they swing, yet it's already ending."/>
    <n v="0.49299999999999999"/>
    <s v="data:,"/>
    <x v="2"/>
    <x v="2"/>
    <m/>
  </r>
  <r>
    <n v="44"/>
    <s v="Black Myth Wukong"/>
    <s v="Guardian of Gear"/>
    <s v="You are fully fitted. Now, swing that staff and fight!"/>
    <n v="0.48700000000000004"/>
    <s v="data:,"/>
    <x v="2"/>
    <x v="2"/>
    <m/>
  </r>
  <r>
    <n v="45"/>
    <s v="Black Myth Wukong"/>
    <s v="Pound and Perfect"/>
    <s v="&quot;Through fire, armor is refined; through trials, strength is defined.&quot;"/>
    <n v="0.48499999999999999"/>
    <s v="data:,"/>
    <x v="2"/>
    <x v="2"/>
    <m/>
  </r>
  <r>
    <n v="46"/>
    <s v="Black Myth Wukong"/>
    <s v="Thousand-Mile Quest"/>
    <s v="Oh woe, oh woe, long trails they did go."/>
    <n v="0.48200000000000004"/>
    <s v="data:,"/>
    <x v="2"/>
    <x v="2"/>
    <m/>
  </r>
  <r>
    <n v="47"/>
    <s v="Black Myth Wukong"/>
    <s v="Treasure Trove"/>
    <s v="&quot;All the four vessels now belong to me!&quot;"/>
    <n v="0.48"/>
    <s v="data:,"/>
    <x v="2"/>
    <x v="2"/>
    <m/>
  </r>
  <r>
    <n v="48"/>
    <s v="Black Myth Wukong"/>
    <s v="A Duel of Destiny"/>
    <s v="Two minds' long fray leaves but one to stay."/>
    <n v="0.46600000000000003"/>
    <s v="data:,"/>
    <x v="5"/>
    <x v="5"/>
    <m/>
  </r>
  <r>
    <n v="49"/>
    <s v="Black Myth Wukong"/>
    <s v="Devoted Disciples"/>
    <s v="Such a waste of those four grand titles."/>
    <n v="0.46500000000000002"/>
    <s v="data:,"/>
    <x v="2"/>
    <x v="2"/>
    <m/>
  </r>
  <r>
    <n v="50"/>
    <s v="Black Myth Wukong"/>
    <s v="A Willing Warrior"/>
    <s v="&quot;For his recognition, I'd give my life for him.&quot;"/>
    <n v="0.46299999999999997"/>
    <s v="data:,"/>
    <x v="2"/>
    <x v="2"/>
    <m/>
  </r>
  <r>
    <n v="51"/>
    <s v="Black Myth Wukong"/>
    <s v="Three Teams of Two"/>
    <s v="The six valiant captains who only fight in number."/>
    <n v="0.46299999999999997"/>
    <s v="data:,"/>
    <x v="2"/>
    <x v="2"/>
    <m/>
  </r>
  <r>
    <n v="52"/>
    <s v="Black Myth Wukong"/>
    <s v="Frost and Flame"/>
    <s v="The merging of ice and fire, swift and severe."/>
    <n v="0.46100000000000002"/>
    <s v="data:,"/>
    <x v="2"/>
    <x v="2"/>
    <m/>
  </r>
  <r>
    <n v="53"/>
    <s v="Black Myth Wukong"/>
    <s v="Misfit with Merit"/>
    <s v="Never will she see with him the world beyond."/>
    <n v="0.45200000000000001"/>
    <s v="data:,"/>
    <x v="2"/>
    <x v="2"/>
    <m/>
  </r>
  <r>
    <n v="54"/>
    <s v="Black Myth Wukong"/>
    <s v="The Wayward Ways"/>
    <s v="&quot;Is that ugliness a promise of immortality? Better leave it.&quot;"/>
    <n v="0.442"/>
    <s v="data:,"/>
    <x v="2"/>
    <x v="2"/>
    <m/>
  </r>
  <r>
    <n v="55"/>
    <s v="Black Myth Wukong"/>
    <s v="Lust and Dust"/>
    <s v="Each and every one holds their own truth."/>
    <n v="0.44"/>
    <s v="data:,"/>
    <x v="2"/>
    <x v="2"/>
    <m/>
  </r>
  <r>
    <n v="56"/>
    <s v="Black Myth Wukong"/>
    <s v="Mei of Memory"/>
    <s v="Bonds from bygone days still pull at the heart."/>
    <n v="0.439"/>
    <s v="data:,"/>
    <x v="2"/>
    <x v="2"/>
    <m/>
  </r>
  <r>
    <n v="57"/>
    <s v="Black Myth Wukong"/>
    <s v="Meet the Match"/>
    <s v="&quot;Let go of him, and you let go of all.&quot;"/>
    <n v="0.42100000000000004"/>
    <s v="data:,"/>
    <x v="2"/>
    <x v="2"/>
    <m/>
  </r>
  <r>
    <n v="58"/>
    <s v="Black Myth Wukong"/>
    <s v="Six Senses Secured"/>
    <s v="After all that strife and struggle, what's truly been gained?"/>
    <n v="0.41100000000000003"/>
    <s v="data:,"/>
    <x v="2"/>
    <x v="2"/>
    <m/>
  </r>
  <r>
    <n v="59"/>
    <s v="Black Myth Wukong"/>
    <s v="A Family Finished"/>
    <s v="Together at last, the scorpions united."/>
    <n v="0.39700000000000002"/>
    <s v="data:,"/>
    <x v="2"/>
    <x v="2"/>
    <m/>
  </r>
  <r>
    <n v="60"/>
    <s v="Black Myth Wukong"/>
    <s v="Master of Magic"/>
    <s v="All spells we know are derived from the same source."/>
    <n v="0.39600000000000002"/>
    <s v="data:,"/>
    <x v="2"/>
    <x v="2"/>
    <m/>
  </r>
  <r>
    <n v="61"/>
    <s v="Black Myth Wukong"/>
    <s v="The Five Skandhas"/>
    <s v="This powerful pill still carries her caring wish."/>
    <n v="0.39100000000000001"/>
    <s v="data:,"/>
    <x v="2"/>
    <x v="2"/>
    <m/>
  </r>
  <r>
    <n v="62"/>
    <s v="Black Myth Wukong"/>
    <s v="Always Accompanied"/>
    <s v="How odd to encounter this old man at every corner!"/>
    <n v="0.38799999999999996"/>
    <s v="data:,"/>
    <x v="2"/>
    <x v="2"/>
    <m/>
  </r>
  <r>
    <n v="63"/>
    <s v="Black Myth Wukong"/>
    <s v="The Clamor of Frogs"/>
    <s v="Six frogs, six skills—how intriguing!"/>
    <n v="0.373"/>
    <s v="data:,"/>
    <x v="2"/>
    <x v="2"/>
    <m/>
  </r>
  <r>
    <n v="64"/>
    <s v="Black Myth Wukong"/>
    <s v="Urge Unfulfilled"/>
    <s v="&quot;With my life I'll repay the title he gave me!&quot;"/>
    <n v="0.36599999999999999"/>
    <s v="data:,"/>
    <x v="2"/>
    <x v="2"/>
    <m/>
  </r>
  <r>
    <n v="65"/>
    <s v="Black Myth Wukong"/>
    <s v="Souls in the Stalks"/>
    <s v="You've picked them all, the easy ones and the hard ones."/>
    <n v="0.35399999999999998"/>
    <s v="data:,"/>
    <x v="2"/>
    <x v="2"/>
    <m/>
  </r>
  <r>
    <n v="66"/>
    <s v="Black Myth Wukong"/>
    <s v="Treaded Tracks"/>
    <s v="&quot;Call off the chase! You've crushed every yaoguai here...&quot;"/>
    <n v="0.32100000000000001"/>
    <s v="data:,"/>
    <x v="2"/>
    <x v="2"/>
    <m/>
  </r>
  <r>
    <n v="67"/>
    <s v="Black Myth Wukong"/>
    <s v="Medicine Meal"/>
    <s v="&quot;Here, have it, have it all.&quot;"/>
    <n v="0.318"/>
    <s v="data:,"/>
    <x v="2"/>
    <x v="2"/>
    <m/>
  </r>
  <r>
    <n v="68"/>
    <s v="Black Myth Wukong"/>
    <s v="Brews and Barrels"/>
    <s v="Now you can sate yourself with all the drinks."/>
    <n v="0.312"/>
    <s v="data:,"/>
    <x v="2"/>
    <x v="2"/>
    <m/>
  </r>
  <r>
    <n v="69"/>
    <s v="Black Myth Wukong"/>
    <s v="Full of Forms"/>
    <s v="Each guise grants a new horizon."/>
    <n v="0.3"/>
    <s v="data:,"/>
    <x v="2"/>
    <x v="2"/>
    <m/>
  </r>
  <r>
    <n v="70"/>
    <s v="Black Myth Wukong"/>
    <s v="Scenic Seeker"/>
    <s v="The most marvelous places for meditation have all met your gaze."/>
    <n v="0.28999999999999998"/>
    <s v="data:,"/>
    <x v="2"/>
    <x v="2"/>
    <m/>
  </r>
  <r>
    <n v="71"/>
    <s v="Black Myth Wukong"/>
    <s v="Portraits Perfected"/>
    <s v="Humans, beasts, yaoguais, and the Bodhisattvas. All recorded and noted."/>
    <n v="0.254"/>
    <s v="data:,"/>
    <x v="2"/>
    <x v="2"/>
    <m/>
  </r>
  <r>
    <n v="72"/>
    <s v="Black Myth Wukong"/>
    <s v="Page Preserver"/>
    <s v="&quot;All the tattered pages can now be compiled in full.&quot;"/>
    <n v="0.22800000000000001"/>
    <s v="data:,"/>
    <x v="2"/>
    <x v="2"/>
    <m/>
  </r>
  <r>
    <n v="73"/>
    <s v="Black Myth Wukong"/>
    <s v="Gourds Gathered"/>
    <s v="Rare is not the gourd but a friend to drink with."/>
    <n v="0.21600000000000003"/>
    <s v="data:,"/>
    <x v="2"/>
    <x v="2"/>
    <m/>
  </r>
  <r>
    <n v="74"/>
    <s v="Black Myth Wukong"/>
    <s v="Staffs and Spears"/>
    <s v="A walking vault of arms you have become!"/>
    <n v="0.184"/>
    <s v="data:,"/>
    <x v="2"/>
    <x v="2"/>
    <m/>
  </r>
  <r>
    <n v="75"/>
    <s v="Black Myth Wukong"/>
    <s v="With Full Spirit"/>
    <s v="Their mighty Spirits are now gathered within you."/>
    <n v="0.17499999999999999"/>
    <s v="data:,"/>
    <x v="2"/>
    <x v="2"/>
    <m/>
  </r>
  <r>
    <n v="76"/>
    <s v="Black Myth Wukong"/>
    <s v="Seeds to Sow"/>
    <s v="Take more as fruit as your plants take root."/>
    <n v="0.16200000000000001"/>
    <s v="data:,"/>
    <x v="2"/>
    <x v="2"/>
    <m/>
  </r>
  <r>
    <n v="77"/>
    <s v="Black Myth Wukong"/>
    <s v="A Curious Collection"/>
    <s v="Every rare wonder the world can offer, collected and kept."/>
    <n v="0.154"/>
    <s v="data:,"/>
    <x v="2"/>
    <x v="2"/>
    <m/>
  </r>
  <r>
    <n v="78"/>
    <s v="Black Myth Wukong"/>
    <s v="Brewer's Bounty"/>
    <s v="A blend for every brew to bring out its best."/>
    <n v="0.14199999999999999"/>
    <s v="data:,"/>
    <x v="2"/>
    <x v="2"/>
    <m/>
  </r>
  <r>
    <n v="79"/>
    <s v="Black Myth Wukong"/>
    <s v="Mantled with Might"/>
    <s v="Shoes on feet, hat on head, embroidered shirt, Daoist robe—free as can be, doing as you please!"/>
    <n v="0.14000000000000001"/>
    <s v="data:,"/>
    <x v="2"/>
    <x v="2"/>
    <m/>
  </r>
  <r>
    <n v="80"/>
    <s v="Black Myth Wukong"/>
    <s v="Final Fulfillment"/>
    <s v="Each ordeal paves your path to what you are meant to be."/>
    <n v="0.126"/>
    <s v="data:,"/>
    <x v="2"/>
    <x v="2"/>
    <m/>
  </r>
  <r>
    <n v="81"/>
    <s v="Lies of P"/>
    <s v="Fatal Blow"/>
    <s v="Deliver a successful Fatal Attack."/>
    <n v="0.95900000000000007"/>
    <s v="https://shared.fastly.steamstatic.com/community_assets/images/apps/1627720/861a49e43a6b3138b387586c7ce4fb088a5f1402.jpg"/>
    <x v="0"/>
    <x v="0"/>
    <m/>
  </r>
  <r>
    <n v="82"/>
    <s v="Lies of P"/>
    <s v="Stargazer’s Guide"/>
    <s v="Repair a Stargazer."/>
    <n v="0.95200000000000007"/>
    <s v="https://shared.fastly.steamstatic.com/community_assets/images/apps/1627720/aeca6faa0ac1c7fd9390bbceca7ba5e589ef463a.jpg"/>
    <x v="2"/>
    <x v="2"/>
    <m/>
  </r>
  <r>
    <n v="83"/>
    <s v="Lies of P"/>
    <s v="Parade Master"/>
    <s v="Kill the Parade Master."/>
    <n v="0.877"/>
    <s v="data:,"/>
    <x v="1"/>
    <x v="1"/>
    <m/>
  </r>
  <r>
    <n v="84"/>
    <s v="Lies of P"/>
    <s v="First Lie"/>
    <s v="Tell a lie in front of Hotel Krat Entrance."/>
    <n v="0.873"/>
    <s v="data:,"/>
    <x v="2"/>
    <x v="2"/>
    <m/>
  </r>
  <r>
    <n v="85"/>
    <s v="Lies of P"/>
    <s v="The Ultimate Defense Technique"/>
    <s v="Destroy an enemy’s weapon with a perfect guard."/>
    <n v="0.81499999999999995"/>
    <s v="data:,"/>
    <x v="2"/>
    <x v="2"/>
    <m/>
  </r>
  <r>
    <n v="86"/>
    <s v="Lies of P"/>
    <s v="The Bastards and the Sweepers"/>
    <s v="Kill a Stalker."/>
    <n v="0.77099999999999991"/>
    <s v="data:,"/>
    <x v="2"/>
    <x v="2"/>
    <m/>
  </r>
  <r>
    <n v="87"/>
    <s v="Lies of P"/>
    <s v="Scrapped Watchman"/>
    <s v="Kill the Scrapped Watchman."/>
    <n v="0.755"/>
    <s v="data:,"/>
    <x v="2"/>
    <x v="2"/>
    <m/>
  </r>
  <r>
    <n v="88"/>
    <s v="Lies of P"/>
    <s v="King's Flame"/>
    <s v="Kill King’s Flame, Fuoco."/>
    <n v="0.68299999999999994"/>
    <s v="data:,"/>
    <x v="2"/>
    <x v="2"/>
    <m/>
  </r>
  <r>
    <n v="89"/>
    <s v="Lies of P"/>
    <s v="Exploring Possibilities"/>
    <s v="Try to assemble a weapon."/>
    <n v="0.64599999999999991"/>
    <s v="data:,"/>
    <x v="2"/>
    <x v="2"/>
    <m/>
  </r>
  <r>
    <n v="90"/>
    <s v="Lies of P"/>
    <s v="Fallen Archbishop"/>
    <s v="Kill the Fallen Archbishop Andreus."/>
    <n v="0.623"/>
    <s v="data:,"/>
    <x v="3"/>
    <x v="3"/>
    <m/>
  </r>
  <r>
    <n v="91"/>
    <s v="Lies of P"/>
    <s v="The Delayed Match"/>
    <s v="Kill the Eldest of the Black Rabbit Brotherhood."/>
    <n v="0.59499999999999997"/>
    <s v="data:,"/>
    <x v="2"/>
    <x v="2"/>
    <m/>
  </r>
  <r>
    <n v="92"/>
    <s v="Lies of P"/>
    <s v="Bear Gold Coin Fruit"/>
    <s v="Harvest Gold Coin Fruit."/>
    <n v="0.59099999999999997"/>
    <s v="data:,"/>
    <x v="2"/>
    <x v="2"/>
    <m/>
  </r>
  <r>
    <n v="93"/>
    <s v="Lies of P"/>
    <s v="King of Puppets"/>
    <s v="Kill Romeo, King of Puppets."/>
    <n v="0.55000000000000004"/>
    <s v="data:,"/>
    <x v="4"/>
    <x v="4"/>
    <m/>
  </r>
  <r>
    <n v="94"/>
    <s v="Lies of P"/>
    <s v="From Across the Rift"/>
    <s v="Kill all types of Dimensional Butterflies."/>
    <n v="0.54200000000000004"/>
    <s v="data:,"/>
    <x v="2"/>
    <x v="2"/>
    <m/>
  </r>
  <r>
    <n v="95"/>
    <s v="Lies of P"/>
    <s v="The Champion of Evolution"/>
    <s v="Kill Champion Victor."/>
    <n v="0.52200000000000002"/>
    <s v="data:,"/>
    <x v="2"/>
    <x v="2"/>
    <m/>
  </r>
  <r>
    <n v="96"/>
    <s v="Lies of P"/>
    <s v="Puppet-Devouring Green Monster"/>
    <s v="Kill the Puppet-Devouring Green Monster."/>
    <n v="0.495"/>
    <s v="data:,"/>
    <x v="2"/>
    <x v="2"/>
    <m/>
  </r>
  <r>
    <n v="97"/>
    <s v="Lies of P"/>
    <s v="Corrupted Parade Master"/>
    <s v="Kill the Corrupted Parade Master."/>
    <n v="0.47499999999999998"/>
    <s v="data:,"/>
    <x v="2"/>
    <x v="2"/>
    <m/>
  </r>
  <r>
    <n v="98"/>
    <s v="Lies of P"/>
    <s v="Strongest Legion Arm"/>
    <s v="Modify a Legion Arm to its max level."/>
    <n v="0.47"/>
    <s v="data:,"/>
    <x v="2"/>
    <x v="2"/>
    <m/>
  </r>
  <r>
    <n v="99"/>
    <s v="Lies of P"/>
    <s v="Revenge of Black"/>
    <s v="Kill the Black Rabbit Brotherhood."/>
    <n v="0.46200000000000002"/>
    <s v="data:,"/>
    <x v="2"/>
    <x v="2"/>
    <m/>
  </r>
  <r>
    <n v="100"/>
    <s v="Lies of P"/>
    <s v="Extreme Potential"/>
    <s v="Activate P-Organ to Phase 5."/>
    <n v="0.44900000000000001"/>
    <s v="data:,"/>
    <x v="2"/>
    <x v="2"/>
    <m/>
  </r>
  <r>
    <n v="101"/>
    <s v="Lies of P"/>
    <s v="The Complete One"/>
    <s v="Kill Laxasia the Complete."/>
    <n v="0.436"/>
    <s v="data:,"/>
    <x v="2"/>
    <x v="2"/>
    <m/>
  </r>
  <r>
    <n v="102"/>
    <s v="Lies of P"/>
    <s v="The Awakened God"/>
    <s v="Kill the Awakened God Simon Manus."/>
    <n v="0.42499999999999999"/>
    <s v="data:,"/>
    <x v="2"/>
    <x v="2"/>
    <m/>
  </r>
  <r>
    <n v="103"/>
    <s v="Lies of P"/>
    <s v="The Story of the One Who Dreamed"/>
    <s v="Find out about the last story of Simon Manus."/>
    <n v="0.42499999999999999"/>
    <s v="data:,"/>
    <x v="2"/>
    <x v="2"/>
    <m/>
  </r>
  <r>
    <n v="104"/>
    <s v="Lies of P"/>
    <s v="Strongest Normal Weapon"/>
    <s v="Strengthen a normal weapon to its max level."/>
    <n v="0.42200000000000004"/>
    <s v="data:,"/>
    <x v="2"/>
    <x v="2"/>
    <m/>
  </r>
  <r>
    <n v="105"/>
    <s v="Lies of P"/>
    <s v="Strongest Special Weapon"/>
    <s v="Strengthen a special weapon to its max level."/>
    <n v="0.41899999999999998"/>
    <s v="data:,"/>
    <x v="2"/>
    <x v="2"/>
    <m/>
  </r>
  <r>
    <n v="106"/>
    <s v="Lies of P"/>
    <s v="The First Puppet"/>
    <s v="Kill the Nameless Puppet."/>
    <n v="0.374"/>
    <s v="data:,"/>
    <x v="5"/>
    <x v="5"/>
    <m/>
  </r>
  <r>
    <n v="107"/>
    <s v="Lies of P"/>
    <s v="The Story of the Refined Old Lady"/>
    <s v="Find out about the last story of Antonia."/>
    <n v="0.36099999999999999"/>
    <s v="data:,"/>
    <x v="2"/>
    <x v="2"/>
    <m/>
  </r>
  <r>
    <n v="108"/>
    <s v="Lies of P"/>
    <s v="Legion Arm Collector"/>
    <s v="Collect all Legion Arms."/>
    <n v="0.28899999999999998"/>
    <s v="data:,"/>
    <x v="2"/>
    <x v="2"/>
    <m/>
  </r>
  <r>
    <n v="109"/>
    <s v="Lies of P"/>
    <s v="Rise of P"/>
    <s v="[Rise of P] Reach the ending."/>
    <n v="0.27200000000000002"/>
    <s v="data:,"/>
    <x v="2"/>
    <x v="2"/>
    <m/>
  </r>
  <r>
    <n v="110"/>
    <s v="Lies of P"/>
    <s v="End of Riddles"/>
    <s v="Discover all Trinity Sanctums."/>
    <n v="0.26100000000000001"/>
    <s v="data:,"/>
    <x v="2"/>
    <x v="2"/>
    <m/>
  </r>
  <r>
    <n v="111"/>
    <s v="Lies of P"/>
    <s v="The Story of the Prince"/>
    <s v="Find out about the last story of Venigni."/>
    <n v="0.25700000000000001"/>
    <s v="data:,"/>
    <x v="2"/>
    <x v="2"/>
    <m/>
  </r>
  <r>
    <n v="112"/>
    <s v="Lies of P"/>
    <s v="Pianist of Krat"/>
    <s v="Play a perfect tune on the piano at Hotel Krat."/>
    <n v="0.23600000000000002"/>
    <s v="data:,"/>
    <x v="2"/>
    <x v="2"/>
    <m/>
  </r>
  <r>
    <n v="113"/>
    <s v="Lies of P"/>
    <s v="The Story of a Stranger Girl"/>
    <s v="Find out about the last story of Eugénie."/>
    <n v="0.218"/>
    <s v="data:,"/>
    <x v="2"/>
    <x v="2"/>
    <m/>
  </r>
  <r>
    <n v="114"/>
    <s v="Lies of P"/>
    <s v="Free from the puppet string"/>
    <s v="[Free from the puppet string] Reach the ending."/>
    <n v="0.21199999999999999"/>
    <s v="data:,"/>
    <x v="2"/>
    <x v="2"/>
    <m/>
  </r>
  <r>
    <n v="115"/>
    <s v="Lies of P"/>
    <s v="The Story of the Blue Butterfly"/>
    <s v="Find out about the last story of Sophia."/>
    <n v="0.21"/>
    <s v="data:,"/>
    <x v="2"/>
    <x v="2"/>
    <m/>
  </r>
  <r>
    <n v="116"/>
    <s v="Lies of P"/>
    <s v="Puppeteer of Death"/>
    <s v="Kill Markiona, the Puppeteer of Death."/>
    <n v="0.185"/>
    <s v="data:,"/>
    <x v="6"/>
    <x v="6"/>
    <m/>
  </r>
  <r>
    <n v="117"/>
    <s v="Lies of P"/>
    <s v="Learning about Emotions"/>
    <s v="Learn all gestures."/>
    <n v="0.184"/>
    <s v="data:,"/>
    <x v="2"/>
    <x v="2"/>
    <m/>
  </r>
  <r>
    <n v="118"/>
    <s v="Lies of P"/>
    <s v="Veteran Explorer"/>
    <s v="Decipher all cryptic vessels and claim the rewards."/>
    <n v="0.17899999999999999"/>
    <s v="data:,"/>
    <x v="2"/>
    <x v="2"/>
    <m/>
  </r>
  <r>
    <n v="119"/>
    <s v="Lies of P"/>
    <s v="Anguished Guardian"/>
    <s v="Kill the Anguished Guardian of the Ruins."/>
    <n v="0.17"/>
    <s v="data:,"/>
    <x v="2"/>
    <x v="2"/>
    <m/>
  </r>
  <r>
    <n v="120"/>
    <s v="Lies of P"/>
    <s v="Honor and Revenge"/>
    <s v="Kill the Leader of the Bastards and the Leader of the Sweepers."/>
    <n v="0.16699999999999998"/>
    <s v="data:,"/>
    <x v="2"/>
    <x v="2"/>
    <m/>
  </r>
  <r>
    <n v="121"/>
    <s v="Lies of P"/>
    <s v="Real boy : They all lived happily ever after"/>
    <s v="[Real boy: They all lived happily ever after] Reach the ending."/>
    <n v="0.159"/>
    <s v="data:,"/>
    <x v="2"/>
    <x v="2"/>
    <m/>
  </r>
  <r>
    <n v="122"/>
    <s v="Lies of P"/>
    <s v="The Blood Artist"/>
    <s v="Kill the Blood Artist."/>
    <n v="0.159"/>
    <s v="data:,"/>
    <x v="7"/>
    <x v="7"/>
    <m/>
  </r>
  <r>
    <n v="123"/>
    <s v="Lies of P"/>
    <s v="The Rose's Memory"/>
    <s v="[The Rose's Memory] Reach the ending."/>
    <n v="0.159"/>
    <s v="data:,"/>
    <x v="2"/>
    <x v="2"/>
    <m/>
  </r>
  <r>
    <n v="124"/>
    <s v="Lies of P"/>
    <s v="Beyond Limitless Potential"/>
    <s v="Further upgrade the abilities of the P-Organ."/>
    <n v="0.156"/>
    <s v="data:,"/>
    <x v="2"/>
    <x v="2"/>
    <m/>
  </r>
  <r>
    <n v="125"/>
    <s v="Lies of P"/>
    <s v="Enduring Resolve"/>
    <s v="Listen to the Legend's last recording."/>
    <n v="0.14699999999999999"/>
    <s v="data:,"/>
    <x v="2"/>
    <x v="2"/>
    <m/>
  </r>
  <r>
    <n v="126"/>
    <s v="Lies of P"/>
    <s v="Normal Weapon Collector"/>
    <s v="Collect all normal weapons."/>
    <n v="0.14300000000000002"/>
    <s v="data:,"/>
    <x v="2"/>
    <x v="2"/>
    <m/>
  </r>
  <r>
    <n v="127"/>
    <s v="Lies of P"/>
    <s v="Tracker of Dark Secrets"/>
    <s v="Decrypt all clues hidden inside the cipher machines and claim the rewards."/>
    <n v="0.14099999999999999"/>
    <s v="data:,"/>
    <x v="2"/>
    <x v="2"/>
    <m/>
  </r>
  <r>
    <n v="128"/>
    <s v="Lies of P"/>
    <s v="Special Weapon Collector"/>
    <s v="Collect all special weapons."/>
    <n v="0.13300000000000001"/>
    <s v="data:,"/>
    <x v="2"/>
    <x v="2"/>
    <m/>
  </r>
  <r>
    <n v="129"/>
    <s v="Lies of P"/>
    <s v="The Story of One Father"/>
    <s v="Find out about the last story of Geppetto."/>
    <n v="0.11900000000000001"/>
    <s v="data:,"/>
    <x v="2"/>
    <x v="2"/>
    <m/>
  </r>
  <r>
    <n v="130"/>
    <s v="Lies of P"/>
    <s v="Golden Melody"/>
    <s v="Collect and play all records."/>
    <n v="9.8000000000000004E-2"/>
    <s v="data:,"/>
    <x v="2"/>
    <x v="2"/>
    <m/>
  </r>
  <r>
    <n v="131"/>
    <s v="Lies of P"/>
    <s v="To Be Human"/>
    <s v="Learn all gestures from the Forgotten Time."/>
    <n v="8.8000000000000009E-2"/>
    <s v="data:,"/>
    <x v="2"/>
    <x v="2"/>
    <m/>
  </r>
  <r>
    <n v="132"/>
    <s v="Lies of P"/>
    <s v="True Combat Gear Collector"/>
    <s v="Collect all weapons and Legion Arms in the Forgotten Time."/>
    <n v="8.5999999999999993E-2"/>
    <s v="data:,"/>
    <x v="2"/>
    <x v="2"/>
    <m/>
  </r>
  <r>
    <n v="133"/>
    <s v="Lies of P"/>
    <s v="Memory's Melody"/>
    <s v="Collect and listen to all records from the Forgotten Time."/>
    <n v="5.7999999999999996E-2"/>
    <s v="data:,"/>
    <x v="2"/>
    <x v="2"/>
    <m/>
  </r>
  <r>
    <n v="134"/>
    <s v="Elden Ring"/>
    <s v="Roundtable Hold"/>
    <s v="Arrived at Roundtable Hold"/>
    <n v="0.75099999999999989"/>
    <s v="https://shared.fastly.steamstatic.com/community_assets/images/apps/1245620/f4e5fd19d3410470709632cd02b3136b5baca33d.jpg"/>
    <x v="2"/>
    <x v="2"/>
    <m/>
  </r>
  <r>
    <n v="135"/>
    <s v="Elden Ring"/>
    <s v="Margit, the Fell Omen"/>
    <s v="Defeated Margit, the Fell Omen"/>
    <n v="0.71"/>
    <s v="https://shared.fastly.steamstatic.com/community_assets/images/apps/1245620/9844ceb487fa8702ef9fddf8cf09b3767d985a14.jpg"/>
    <x v="1"/>
    <x v="1"/>
    <m/>
  </r>
  <r>
    <n v="136"/>
    <s v="Elden Ring"/>
    <s v="Shardbearer Godrick"/>
    <s v="Defeated Shardbearer Godrick"/>
    <n v="0.65200000000000002"/>
    <s v="data:,"/>
    <x v="3"/>
    <x v="3"/>
    <m/>
  </r>
  <r>
    <n v="137"/>
    <s v="Elden Ring"/>
    <s v="Great Rune"/>
    <s v="Restored the power of a Great Rune"/>
    <n v="0.60699999999999998"/>
    <s v="data:,"/>
    <x v="2"/>
    <x v="2"/>
    <m/>
  </r>
  <r>
    <n v="138"/>
    <s v="Elden Ring"/>
    <s v="Red Wolf of Radagon"/>
    <s v="Defeated the Red Wolf of Radagon"/>
    <n v="0.59399999999999997"/>
    <s v="data:,"/>
    <x v="2"/>
    <x v="2"/>
    <m/>
  </r>
  <r>
    <n v="139"/>
    <s v="Elden Ring"/>
    <s v="Rennala, Queen of the Full Moon"/>
    <s v="Defeated Rennala, Queen of the Full Moon"/>
    <n v="0.57999999999999996"/>
    <s v="data:,"/>
    <x v="2"/>
    <x v="2"/>
    <m/>
  </r>
  <r>
    <n v="140"/>
    <s v="Elden Ring"/>
    <s v="Leonine Misbegotten"/>
    <s v="Defeated the Leonine Misbegotten"/>
    <n v="0.57700000000000007"/>
    <s v="data:,"/>
    <x v="2"/>
    <x v="2"/>
    <m/>
  </r>
  <r>
    <n v="141"/>
    <s v="Elden Ring"/>
    <s v="Royal Knight Loretta"/>
    <s v="Defeated Royal Knight Loretta"/>
    <n v="0.55500000000000005"/>
    <s v="data:,"/>
    <x v="2"/>
    <x v="2"/>
    <m/>
  </r>
  <r>
    <n v="142"/>
    <s v="Elden Ring"/>
    <s v="Shardbearer Radahn"/>
    <s v="Defeated Shardbearer Radahn"/>
    <n v="0.53299999999999992"/>
    <s v="data:,"/>
    <x v="4"/>
    <x v="4"/>
    <m/>
  </r>
  <r>
    <n v="143"/>
    <s v="Elden Ring"/>
    <s v="Mimic Tear"/>
    <s v="Defeated Mimic Tear"/>
    <n v="0.50900000000000001"/>
    <s v="data:,"/>
    <x v="2"/>
    <x v="2"/>
    <m/>
  </r>
  <r>
    <n v="144"/>
    <s v="Elden Ring"/>
    <s v="Godfrey, First Elden Lord"/>
    <s v="Defeated Godfrey, First Elden Lord"/>
    <n v="0.501"/>
    <s v="data:,"/>
    <x v="2"/>
    <x v="2"/>
    <m/>
  </r>
  <r>
    <n v="145"/>
    <s v="Elden Ring"/>
    <s v="Shardbearer Morgott"/>
    <s v="Defeated Shardbearer Morgott"/>
    <n v="0.496"/>
    <s v="data:,"/>
    <x v="2"/>
    <x v="2"/>
    <m/>
  </r>
  <r>
    <n v="146"/>
    <s v="Elden Ring"/>
    <s v="Magma Wyrm Makar"/>
    <s v="Defeated Magma Wyrm Makar"/>
    <n v="0.47899999999999998"/>
    <s v="data:,"/>
    <x v="2"/>
    <x v="2"/>
    <m/>
  </r>
  <r>
    <n v="147"/>
    <s v="Elden Ring"/>
    <s v="God-Slaying Armament"/>
    <s v="Upgraded any armament to its highest stage"/>
    <n v="0.45600000000000002"/>
    <s v="data:,"/>
    <x v="2"/>
    <x v="2"/>
    <m/>
  </r>
  <r>
    <n v="148"/>
    <s v="Elden Ring"/>
    <s v="Fire Giant"/>
    <s v="Defeated Fire Giant"/>
    <n v="0.45"/>
    <s v="data:,"/>
    <x v="2"/>
    <x v="2"/>
    <m/>
  </r>
  <r>
    <n v="149"/>
    <s v="Elden Ring"/>
    <s v="Erdtree Aflame"/>
    <s v="Used kindling to set the Erdtree aflame"/>
    <n v="0.442"/>
    <s v="data:,"/>
    <x v="2"/>
    <x v="2"/>
    <m/>
  </r>
  <r>
    <n v="150"/>
    <s v="Elden Ring"/>
    <s v="Commander Niall"/>
    <s v="Defeated Commander Niall"/>
    <n v="0.441"/>
    <s v="data:,"/>
    <x v="2"/>
    <x v="2"/>
    <m/>
  </r>
  <r>
    <n v="151"/>
    <s v="Elden Ring"/>
    <s v="Shardbearer Rykard"/>
    <s v="Defeated Shardbearer Rykard"/>
    <n v="0.436"/>
    <s v="data:,"/>
    <x v="2"/>
    <x v="2"/>
    <m/>
  </r>
  <r>
    <n v="152"/>
    <s v="Elden Ring"/>
    <s v="Astel, Naturalborn of the Void"/>
    <s v="Defeated Astel, Naturalborn of the Void"/>
    <n v="0.434"/>
    <s v="data:,"/>
    <x v="2"/>
    <x v="2"/>
    <m/>
  </r>
  <r>
    <n v="153"/>
    <s v="Elden Ring"/>
    <s v="Godskin Duo"/>
    <s v="Defeated Godskin Duo"/>
    <n v="0.43200000000000005"/>
    <s v="data:,"/>
    <x v="2"/>
    <x v="2"/>
    <m/>
  </r>
  <r>
    <n v="154"/>
    <s v="Elden Ring"/>
    <s v="Godskin Noble"/>
    <s v="Defeated Godskin Noble"/>
    <n v="0.43"/>
    <s v="data:,"/>
    <x v="2"/>
    <x v="2"/>
    <m/>
  </r>
  <r>
    <n v="155"/>
    <s v="Elden Ring"/>
    <s v="Ancestor Spirit"/>
    <s v="Defeated Ancestor Spirit"/>
    <n v="0.41799999999999998"/>
    <s v="data:,"/>
    <x v="2"/>
    <x v="2"/>
    <m/>
  </r>
  <r>
    <n v="156"/>
    <s v="Elden Ring"/>
    <s v="Maliketh the Black Blade"/>
    <s v="Defeated Maliketh the Black Blade"/>
    <n v="0.41600000000000004"/>
    <s v="data:,"/>
    <x v="2"/>
    <x v="2"/>
    <m/>
  </r>
  <r>
    <n v="157"/>
    <s v="Elden Ring"/>
    <s v="Shardbearer Mohg"/>
    <s v="Defeated Shardbearer Mohg"/>
    <n v="0.40700000000000003"/>
    <s v="data:,"/>
    <x v="2"/>
    <x v="2"/>
    <m/>
  </r>
  <r>
    <n v="158"/>
    <s v="Elden Ring"/>
    <s v="Hoarah Loux, Warrior"/>
    <s v="Defeated Hoarah Loux, Warrior"/>
    <n v="0.40500000000000003"/>
    <s v="data:,"/>
    <x v="5"/>
    <x v="5"/>
    <s v="While Horax Loux is not the final boss, the split achievements for the endings make this the last boss with shared achievements. "/>
  </r>
  <r>
    <n v="159"/>
    <s v="Elden Ring"/>
    <s v="Valiant Gargoyles"/>
    <s v="Defeated Valiant Gargoyles"/>
    <n v="0.39899999999999997"/>
    <s v="data:,"/>
    <x v="2"/>
    <x v="2"/>
    <m/>
  </r>
  <r>
    <n v="160"/>
    <s v="Elden Ring"/>
    <s v="Loretta, Knight of the Haligtree"/>
    <s v="Defeated Loretta, Knight of the Haligtree"/>
    <n v="0.39799999999999996"/>
    <s v="data:,"/>
    <x v="2"/>
    <x v="2"/>
    <m/>
  </r>
  <r>
    <n v="161"/>
    <s v="Elden Ring"/>
    <s v="Elemer of the Briar"/>
    <s v="Defeated Elemer of the Briar"/>
    <n v="0.39700000000000002"/>
    <s v="data:,"/>
    <x v="2"/>
    <x v="2"/>
    <m/>
  </r>
  <r>
    <n v="162"/>
    <s v="Elden Ring"/>
    <s v="Dragonkin Soldier of Nokstella"/>
    <s v="Defeated Dragonkin Soldier of Nokstella"/>
    <n v="0.39200000000000002"/>
    <s v="data:,"/>
    <x v="2"/>
    <x v="2"/>
    <m/>
  </r>
  <r>
    <n v="163"/>
    <s v="Elden Ring"/>
    <s v="Regal Ancestor Spirit"/>
    <s v="Defeated Regal Ancestor Spirit"/>
    <n v="0.38100000000000001"/>
    <s v="data:,"/>
    <x v="2"/>
    <x v="2"/>
    <m/>
  </r>
  <r>
    <n v="164"/>
    <s v="Elden Ring"/>
    <s v="Shardbearer Malenia"/>
    <s v="Defeated Shardbearer Malenia"/>
    <n v="0.36399999999999999"/>
    <s v="data:,"/>
    <x v="2"/>
    <x v="2"/>
    <m/>
  </r>
  <r>
    <n v="165"/>
    <s v="Elden Ring"/>
    <s v="Mohg, the Omen"/>
    <s v="Defeated Mohg, the Omen"/>
    <n v="0.34799999999999998"/>
    <s v="data:,"/>
    <x v="2"/>
    <x v="2"/>
    <m/>
  </r>
  <r>
    <n v="166"/>
    <s v="Elden Ring"/>
    <s v="Dragonlord Placidusax"/>
    <s v="Defeated Dragonlord Placidusax"/>
    <n v="0.30099999999999999"/>
    <s v="data:,"/>
    <x v="2"/>
    <x v="2"/>
    <m/>
  </r>
  <r>
    <n v="167"/>
    <s v="Elden Ring"/>
    <s v="Lichdragon Fortissax"/>
    <s v="Defeated Lichdragon Fortissax"/>
    <n v="0.29100000000000004"/>
    <s v="data:,"/>
    <x v="2"/>
    <x v="2"/>
    <m/>
  </r>
  <r>
    <n v="168"/>
    <s v="Elden Ring"/>
    <s v="Age of the Stars"/>
    <s v="Achieved the &quot;Age of the Stars&quot; ending"/>
    <n v="0.28199999999999997"/>
    <s v="data:,"/>
    <x v="2"/>
    <x v="2"/>
    <m/>
  </r>
  <r>
    <n v="169"/>
    <s v="Elden Ring"/>
    <s v="Elden Lord"/>
    <s v="Achieved the &quot;Elden Lord&quot; ending"/>
    <n v="0.23800000000000002"/>
    <s v="data:,"/>
    <x v="2"/>
    <x v="2"/>
    <m/>
  </r>
  <r>
    <n v="170"/>
    <s v="Elden Ring"/>
    <s v="Legendary Armaments"/>
    <s v="Acquired all legendary armaments"/>
    <n v="0.182"/>
    <s v="data:,"/>
    <x v="2"/>
    <x v="2"/>
    <m/>
  </r>
  <r>
    <n v="171"/>
    <s v="Elden Ring"/>
    <s v="Legendary Talismans"/>
    <s v="Acquired all legendary talismans"/>
    <n v="0.17699999999999999"/>
    <s v="data:,"/>
    <x v="2"/>
    <x v="2"/>
    <m/>
  </r>
  <r>
    <n v="172"/>
    <s v="Elden Ring"/>
    <s v="Legendary Ashen Remains"/>
    <s v="Acquired all legendary ashen remains"/>
    <n v="0.17600000000000002"/>
    <s v="data:,"/>
    <x v="2"/>
    <x v="2"/>
    <m/>
  </r>
  <r>
    <n v="173"/>
    <s v="Elden Ring"/>
    <s v="Legendary Sorceries and Incantations"/>
    <s v="Acquired all legendary sorceries and incantations"/>
    <n v="0.17199999999999999"/>
    <s v="data:,"/>
    <x v="2"/>
    <x v="2"/>
    <m/>
  </r>
  <r>
    <n v="174"/>
    <s v="Elden Ring"/>
    <s v="Lord of Frenzied Flame"/>
    <s v="Achieved the &quot;Lord of Frenzied Flame&quot; ending"/>
    <n v="0.16399999999999998"/>
    <s v="data:,"/>
    <x v="2"/>
    <x v="2"/>
    <m/>
  </r>
  <r>
    <n v="175"/>
    <s v="Elden Ring"/>
    <s v="Elden Ring"/>
    <s v="Obtained all achievements"/>
    <n v="0.10400000000000001"/>
    <s v="data:,"/>
    <x v="2"/>
    <x v="2"/>
    <m/>
  </r>
  <r>
    <n v="176"/>
    <s v="Sekiro: Shadows Die Twice"/>
    <s v="Revered Blade"/>
    <s v="Received the &quot;Kusabimaru&quot; from Kuro"/>
    <n v="0.94"/>
    <s v="https://shared.fastly.steamstatic.com/community_assets/images/apps/814380/4f2088f8818ec2eb60119b3cd3a9213509bab46d.jpg"/>
    <x v="0"/>
    <x v="0"/>
    <m/>
  </r>
  <r>
    <n v="177"/>
    <s v="Sekiro: Shadows Die Twice"/>
    <s v="Shinobi Prosthetic"/>
    <s v="Acquired the Shinobi Prosthetic"/>
    <n v="0.89700000000000002"/>
    <s v="https://shared.fastly.steamstatic.com/community_assets/images/apps/814380/2a664af0026dcd3489d7f60122e232f241889cde.jpg"/>
    <x v="2"/>
    <x v="2"/>
    <m/>
  </r>
  <r>
    <n v="178"/>
    <s v="Sekiro: Shadows Die Twice"/>
    <s v="Resurrection"/>
    <s v="Returned from the dead using &quot;Resurrection&quot; for the first time"/>
    <n v="0.85499999999999998"/>
    <s v="data:,"/>
    <x v="2"/>
    <x v="2"/>
    <m/>
  </r>
  <r>
    <n v="179"/>
    <s v="Sekiro: Shadows Die Twice"/>
    <s v="Memorial Mob"/>
    <s v="Encountered the Memorial Mob"/>
    <n v="0.59299999999999997"/>
    <s v="data:,"/>
    <x v="2"/>
    <x v="2"/>
    <m/>
  </r>
  <r>
    <n v="180"/>
    <s v="Sekiro: Shadows Die Twice"/>
    <s v="Gyoubu Masataka Oniwa"/>
    <s v="Defeated &quot;Gyoubu Masataka Oniwa&quot;"/>
    <n v="0.57200000000000006"/>
    <s v="data:,"/>
    <x v="1"/>
    <x v="1"/>
    <m/>
  </r>
  <r>
    <n v="181"/>
    <s v="Sekiro: Shadows Die Twice"/>
    <s v="The Phantom Lady Butterfly"/>
    <s v="Defeated &quot;Lady Butterfly&quot;"/>
    <n v="0.46700000000000003"/>
    <s v="data:,"/>
    <x v="2"/>
    <x v="2"/>
    <m/>
  </r>
  <r>
    <n v="182"/>
    <s v="Sekiro: Shadows Die Twice"/>
    <s v="Genichiro Ashina"/>
    <s v="Defeated &quot;Genichiro Ashina&quot;"/>
    <n v="0.45299999999999996"/>
    <s v="data:,"/>
    <x v="3"/>
    <x v="3"/>
    <m/>
  </r>
  <r>
    <n v="183"/>
    <s v="Sekiro: Shadows Die Twice"/>
    <s v="Folding Screen Monkeys"/>
    <s v="Caught the Folding Screen Monkeys"/>
    <n v="0.41700000000000004"/>
    <s v="data:,"/>
    <x v="2"/>
    <x v="2"/>
    <m/>
  </r>
  <r>
    <n v="184"/>
    <s v="Sekiro: Shadows Die Twice"/>
    <s v="Guardian Ape"/>
    <s v="Defeated the &quot;Guardian Ape&quot;"/>
    <n v="0.39799999999999996"/>
    <s v="data:,"/>
    <x v="2"/>
    <x v="2"/>
    <m/>
  </r>
  <r>
    <n v="185"/>
    <s v="Sekiro: Shadows Die Twice"/>
    <s v="Master of the Arts"/>
    <s v="Grasped the inner mysteries of any combat style"/>
    <n v="0.39"/>
    <s v="data:,"/>
    <x v="2"/>
    <x v="2"/>
    <m/>
  </r>
  <r>
    <n v="186"/>
    <s v="Sekiro: Shadows Die Twice"/>
    <s v="Great Shinobi - Owl"/>
    <s v="Defeated &quot;Great Shinobi - Owl&quot;"/>
    <n v="0.36399999999999999"/>
    <s v="data:,"/>
    <x v="4"/>
    <x v="4"/>
    <m/>
  </r>
  <r>
    <n v="187"/>
    <s v="Sekiro: Shadows Die Twice"/>
    <s v="Ashina Traveler"/>
    <s v="Traveled to all areas of the game"/>
    <n v="0.35799999999999998"/>
    <s v="data:,"/>
    <x v="2"/>
    <x v="2"/>
    <m/>
  </r>
  <r>
    <n v="188"/>
    <s v="Sekiro: Shadows Die Twice"/>
    <s v="Corrupted Monk"/>
    <s v="Defeated the &quot;Corrupted Monk&quot;"/>
    <n v="0.35799999999999998"/>
    <s v="data:,"/>
    <x v="2"/>
    <x v="2"/>
    <m/>
  </r>
  <r>
    <n v="189"/>
    <s v="Sekiro: Shadows Die Twice"/>
    <s v="Gracious Gift of Tears"/>
    <s v="Defeated the &quot;Divine Dragon&quot; and obtained the &quot;Divine Dragon's Tears&quot;"/>
    <n v="0.34700000000000003"/>
    <s v="data:,"/>
    <x v="2"/>
    <x v="2"/>
    <m/>
  </r>
  <r>
    <n v="190"/>
    <s v="Sekiro: Shadows Die Twice"/>
    <s v="Guardian Ape Immortality Severed"/>
    <s v="Used the Mortal Blade to sever the Guardian Ape's undying"/>
    <n v="0.33700000000000002"/>
    <s v="data:,"/>
    <x v="2"/>
    <x v="2"/>
    <m/>
  </r>
  <r>
    <n v="191"/>
    <s v="Sekiro: Shadows Die Twice"/>
    <s v="All Ninjutsu Techniques"/>
    <s v="Acquired all Ninjutsu Techniques"/>
    <n v="0.33500000000000002"/>
    <s v="data:,"/>
    <x v="2"/>
    <x v="2"/>
    <m/>
  </r>
  <r>
    <n v="192"/>
    <s v="Sekiro: Shadows Die Twice"/>
    <s v="Great Serpent"/>
    <s v="Defeated the &quot;Great Serpent&quot;."/>
    <n v="0.32500000000000001"/>
    <s v="data:,"/>
    <x v="2"/>
    <x v="2"/>
    <m/>
  </r>
  <r>
    <n v="193"/>
    <s v="Sekiro: Shadows Die Twice"/>
    <s v="Sword Saint, Isshin Ashina"/>
    <s v="Defeated &quot;Sword Saint Isshin Ashina&quot;"/>
    <n v="0.314"/>
    <s v="data:,"/>
    <x v="5"/>
    <x v="5"/>
    <m/>
  </r>
  <r>
    <n v="194"/>
    <s v="Sekiro: Shadows Die Twice"/>
    <s v="All Prosthetic Tools"/>
    <s v="Acquired all Prosthetic Tools"/>
    <n v="0.313"/>
    <s v="data:,"/>
    <x v="2"/>
    <x v="2"/>
    <m/>
  </r>
  <r>
    <n v="195"/>
    <s v="Sekiro: Shadows Die Twice"/>
    <s v="Ultimate Healing Gourd"/>
    <s v="Fully upgraded the &quot;Healing Gourd&quot;"/>
    <n v="0.27100000000000002"/>
    <s v="data:,"/>
    <x v="2"/>
    <x v="2"/>
    <m/>
  </r>
  <r>
    <n v="196"/>
    <s v="Sekiro: Shadows Die Twice"/>
    <s v="Demon of Hatred"/>
    <s v="Defeated the &quot;Demon of Hatred&quot;"/>
    <n v="0.26400000000000001"/>
    <s v="data:,"/>
    <x v="2"/>
    <x v="2"/>
    <m/>
  </r>
  <r>
    <n v="197"/>
    <s v="Sekiro: Shadows Die Twice"/>
    <s v="Immortal Severance"/>
    <s v="Attained the &quot;Immortal Severance&quot; ending"/>
    <n v="0.23899999999999999"/>
    <s v="data:,"/>
    <x v="2"/>
    <x v="2"/>
    <m/>
  </r>
  <r>
    <n v="198"/>
    <s v="Sekiro: Shadows Die Twice"/>
    <s v="Great Colored Carp"/>
    <s v="Defeated the &quot;Great Colored Carp&quot;."/>
    <n v="0.22800000000000001"/>
    <s v="data:,"/>
    <x v="2"/>
    <x v="2"/>
    <m/>
  </r>
  <r>
    <n v="199"/>
    <s v="Sekiro: Shadows Die Twice"/>
    <s v="Father Surpassed"/>
    <s v="Defeated &quot;Great Shinobi - Owl&quot; at the Hirata Estate"/>
    <n v="0.22"/>
    <s v="data:,"/>
    <x v="2"/>
    <x v="2"/>
    <m/>
  </r>
  <r>
    <n v="200"/>
    <s v="Sekiro: Shadows Die Twice"/>
    <s v="Peak Physical Strength"/>
    <s v="Upgraded Vitality and Posture to their limit"/>
    <n v="0.214"/>
    <s v="data:,"/>
    <x v="2"/>
    <x v="2"/>
    <m/>
  </r>
  <r>
    <n v="201"/>
    <s v="Sekiro: Shadows Die Twice"/>
    <s v="Lazuline Upgrade"/>
    <s v="Used Lapis Lazuli to upgrade any tool to its limit"/>
    <n v="0.21299999999999999"/>
    <s v="data:,"/>
    <x v="2"/>
    <x v="2"/>
    <m/>
  </r>
  <r>
    <n v="202"/>
    <s v="Sekiro: Shadows Die Twice"/>
    <s v="Isshin Ashina"/>
    <s v="Defeated &quot;Isshin Ashina&quot;"/>
    <n v="0.191"/>
    <s v="data:,"/>
    <x v="2"/>
    <x v="2"/>
    <m/>
  </r>
  <r>
    <n v="203"/>
    <s v="Sekiro: Shadows Die Twice"/>
    <s v="Shura"/>
    <s v="Attained the &quot;Shura&quot; ending"/>
    <n v="0.191"/>
    <s v="data:,"/>
    <x v="2"/>
    <x v="2"/>
    <m/>
  </r>
  <r>
    <n v="204"/>
    <s v="Sekiro: Shadows Die Twice"/>
    <s v="Dragon's Homecoming"/>
    <s v="Attained the &quot;Return&quot; ending"/>
    <n v="0.19"/>
    <s v="data:,"/>
    <x v="2"/>
    <x v="2"/>
    <m/>
  </r>
  <r>
    <n v="205"/>
    <s v="Sekiro: Shadows Die Twice"/>
    <s v="Purification"/>
    <s v="Attained the &quot;Purification&quot; ending"/>
    <n v="0.16800000000000001"/>
    <s v="data:,"/>
    <x v="2"/>
    <x v="2"/>
    <m/>
  </r>
  <r>
    <n v="206"/>
    <s v="Sekiro: Shadows Die Twice"/>
    <s v="Man Without Equal"/>
    <s v="Defeated all bosses"/>
    <n v="0.14599999999999999"/>
    <s v="data:,"/>
    <x v="2"/>
    <x v="2"/>
    <m/>
  </r>
  <r>
    <n v="207"/>
    <s v="Sekiro: Shadows Die Twice"/>
    <s v="Height of Technique"/>
    <s v="Acquired all skills"/>
    <n v="0.13800000000000001"/>
    <s v="data:,"/>
    <x v="2"/>
    <x v="2"/>
    <m/>
  </r>
  <r>
    <n v="208"/>
    <s v="Sekiro: Shadows Die Twice"/>
    <s v="Master of the Prosthetic"/>
    <s v="Upgraded all Prosthetic Tools to their limit"/>
    <n v="0.13400000000000001"/>
    <s v="data:,"/>
    <x v="2"/>
    <x v="2"/>
    <m/>
  </r>
  <r>
    <n v="209"/>
    <s v="Sekiro: Shadows Die Twice"/>
    <s v="Sekiro"/>
    <s v="All achievements have been unlocked."/>
    <n v="9.9000000000000005E-2"/>
    <s v="data:,"/>
    <x v="2"/>
    <x v="2"/>
    <m/>
  </r>
  <r>
    <n v="210"/>
    <s v="Elden Ring Nightreign"/>
    <s v="The Shrouded Roundtable Hold"/>
    <s v="Reached the Shrouded Roundtable Hold"/>
    <n v="0.97299999999999998"/>
    <s v="https://shared.fastly.steamstatic.com/community_assets/images/apps/2622380/768da8bec8e6cf31d5fb0ac90523b10e22056b82.jpg"/>
    <x v="0"/>
    <x v="0"/>
    <m/>
  </r>
  <r>
    <n v="211"/>
    <s v="Elden Ring Nightreign"/>
    <s v="Relic"/>
    <s v="Invoked the power of a relic for the first time"/>
    <n v="0.86599999999999999"/>
    <s v="https://shared.fastly.steamstatic.com/community_assets/images/apps/2622380/1b51d5bb0a2cd761989706876562100fba580c7c.jpg"/>
    <x v="2"/>
    <x v="2"/>
    <m/>
  </r>
  <r>
    <n v="212"/>
    <s v="Elden Ring Nightreign"/>
    <s v="Untold Power"/>
    <s v="Defeated 10 or more great enemies on 1 expedition"/>
    <n v="0.81099999999999994"/>
    <s v="data:,"/>
    <x v="2"/>
    <x v="2"/>
    <m/>
  </r>
  <r>
    <n v="213"/>
    <s v="Elden Ring Nightreign"/>
    <s v="The Nightlords"/>
    <s v="The Nightlords appeared"/>
    <n v="0.81"/>
    <s v="data:,"/>
    <x v="2"/>
    <x v="2"/>
    <m/>
  </r>
  <r>
    <n v="214"/>
    <s v="Elden Ring Nightreign"/>
    <s v="Tricephalos"/>
    <s v="Defeated Gladius, Beast of Night"/>
    <n v="0.80900000000000005"/>
    <s v="data:,"/>
    <x v="1"/>
    <x v="1"/>
    <m/>
  </r>
  <r>
    <n v="215"/>
    <s v="Elden Ring Nightreign"/>
    <s v="The Duchess Joins the Fray"/>
    <s v="The Duchess became a playable character"/>
    <n v="0.77200000000000002"/>
    <s v="data:,"/>
    <x v="2"/>
    <x v="2"/>
    <m/>
  </r>
  <r>
    <n v="216"/>
    <s v="Elden Ring Nightreign"/>
    <s v="Legendary Armament"/>
    <s v="Acquired a legendary armament for the first time"/>
    <n v="0.76300000000000001"/>
    <s v="data:,"/>
    <x v="2"/>
    <x v="2"/>
    <m/>
  </r>
  <r>
    <n v="217"/>
    <s v="Elden Ring Nightreign"/>
    <s v="Replenished Sacred Flasks"/>
    <s v="Acquired a great number of flask charges"/>
    <n v="0.76"/>
    <s v="data:,"/>
    <x v="2"/>
    <x v="2"/>
    <m/>
  </r>
  <r>
    <n v="218"/>
    <s v="Elden Ring Nightreign"/>
    <s v="Gaping Jaw"/>
    <s v="Defeated Adel, Baron of Night"/>
    <n v="0.68700000000000006"/>
    <s v="data:,"/>
    <x v="3"/>
    <x v="3"/>
    <m/>
  </r>
  <r>
    <n v="219"/>
    <s v="Elden Ring Nightreign"/>
    <s v="Vessel"/>
    <s v="Acquired a new vessel and conducted a different relic rite for the first time"/>
    <n v="0.68099999999999994"/>
    <s v="data:,"/>
    <x v="2"/>
    <x v="2"/>
    <m/>
  </r>
  <r>
    <n v="220"/>
    <s v="Elden Ring Nightreign"/>
    <s v="Sentient Pest"/>
    <s v="Defeated Gnoster, Wisdom of Night"/>
    <n v="0.63900000000000001"/>
    <s v="data:,"/>
    <x v="2"/>
    <x v="2"/>
    <m/>
  </r>
  <r>
    <n v="221"/>
    <s v="Elden Ring Nightreign"/>
    <s v="Night Begins"/>
    <s v="The Night Aspect appeared"/>
    <n v="0.624"/>
    <s v="data:,"/>
    <x v="2"/>
    <x v="2"/>
    <m/>
  </r>
  <r>
    <n v="222"/>
    <s v="Elden Ring Nightreign"/>
    <s v="Mastery"/>
    <s v="Attained maximum level"/>
    <n v="0.61799999999999999"/>
    <s v="data:,"/>
    <x v="2"/>
    <x v="2"/>
    <m/>
  </r>
  <r>
    <n v="223"/>
    <s v="Elden Ring Nightreign"/>
    <s v="Augur"/>
    <s v="Defeated Maris, Fathom of Night"/>
    <n v="0.61399999999999999"/>
    <s v="data:,"/>
    <x v="2"/>
    <x v="2"/>
    <m/>
  </r>
  <r>
    <n v="224"/>
    <s v="Elden Ring Nightreign"/>
    <s v="The Revenant Joins the Fray"/>
    <s v="The Revenant became a playable character"/>
    <n v="0.60499999999999998"/>
    <s v="data:,"/>
    <x v="2"/>
    <x v="2"/>
    <m/>
  </r>
  <r>
    <n v="225"/>
    <s v="Elden Ring Nightreign"/>
    <s v="Fell Omen"/>
    <s v="Completed Fell Omen raid"/>
    <n v="0.57999999999999996"/>
    <s v="data:,"/>
    <x v="2"/>
    <x v="2"/>
    <m/>
  </r>
  <r>
    <n v="226"/>
    <s v="Elden Ring Nightreign"/>
    <s v="Equilibrious Beast"/>
    <s v="Defeated Libra, Creature of Night"/>
    <n v="0.57499999999999996"/>
    <s v="data:,"/>
    <x v="4"/>
    <x v="4"/>
    <m/>
  </r>
  <r>
    <n v="227"/>
    <s v="Elden Ring Nightreign"/>
    <s v="Darkdrift Knight"/>
    <s v="Defeated Fulghor, Champion of Nightglow"/>
    <n v="0.56999999999999995"/>
    <s v="data:,"/>
    <x v="2"/>
    <x v="2"/>
    <m/>
  </r>
  <r>
    <n v="228"/>
    <s v="Elden Ring Nightreign"/>
    <s v="Fissure in the Fog"/>
    <s v="Defeated Caligo, Miasma of Night"/>
    <n v="0.56799999999999995"/>
    <s v="data:,"/>
    <x v="2"/>
    <x v="2"/>
    <m/>
  </r>
  <r>
    <n v="229"/>
    <s v="Elden Ring Nightreign"/>
    <s v="Dresser"/>
    <s v="Changed garb via dresser for the first time"/>
    <n v="0.56200000000000006"/>
    <s v="data:,"/>
    <x v="2"/>
    <x v="2"/>
    <m/>
  </r>
  <r>
    <n v="230"/>
    <s v="Elden Ring Nightreign"/>
    <s v="Typhoon"/>
    <s v="Completed Augur raid"/>
    <n v="0.56100000000000005"/>
    <s v="data:,"/>
    <x v="2"/>
    <x v="2"/>
    <m/>
  </r>
  <r>
    <n v="231"/>
    <s v="Elden Ring Nightreign"/>
    <s v="The Crater"/>
    <s v="Found the secret of the Crater"/>
    <n v="0.54899999999999993"/>
    <s v="data:,"/>
    <x v="2"/>
    <x v="2"/>
    <m/>
  </r>
  <r>
    <n v="232"/>
    <s v="Elden Ring Nightreign"/>
    <s v="Mountaintop"/>
    <s v="Found the secret of the Mountaintop"/>
    <n v="0.54200000000000004"/>
    <s v="data:,"/>
    <x v="2"/>
    <x v="2"/>
    <m/>
  </r>
  <r>
    <n v="233"/>
    <s v="Elden Ring Nightreign"/>
    <s v="Rotted Woods"/>
    <s v="Found the secret of the Rotted Woods"/>
    <n v="0.54"/>
    <s v="data:,"/>
    <x v="2"/>
    <x v="2"/>
    <m/>
  </r>
  <r>
    <n v="234"/>
    <s v="Elden Ring Nightreign"/>
    <s v="Old Gaol"/>
    <s v="Completed the oldest gaol"/>
    <n v="0.53200000000000003"/>
    <s v="data:,"/>
    <x v="2"/>
    <x v="2"/>
    <m/>
  </r>
  <r>
    <n v="235"/>
    <s v="Elden Ring Nightreign"/>
    <s v="Night Aspect"/>
    <s v="Defeated Heolstor the Nightlord"/>
    <n v="0.52800000000000002"/>
    <s v="data:,"/>
    <x v="5"/>
    <x v="5"/>
    <m/>
  </r>
  <r>
    <n v="236"/>
    <s v="Elden Ring Nightreign"/>
    <s v="True Arbiter"/>
    <s v="Completed Equilibrious Beast raid"/>
    <n v="0.52700000000000002"/>
    <s v="data:,"/>
    <x v="2"/>
    <x v="2"/>
    <m/>
  </r>
  <r>
    <n v="237"/>
    <s v="Elden Ring Nightreign"/>
    <s v="Dawn"/>
    <s v="Reached the ending"/>
    <n v="0.501"/>
    <s v="data:,"/>
    <x v="2"/>
    <x v="2"/>
    <m/>
  </r>
  <r>
    <n v="238"/>
    <s v="Elden Ring Nightreign"/>
    <s v="Nightlord Conqueror"/>
    <s v="Defeated all Nightlords"/>
    <n v="0.49200000000000005"/>
    <s v="data:,"/>
    <x v="2"/>
    <x v="2"/>
    <m/>
  </r>
  <r>
    <n v="239"/>
    <s v="Elden Ring Nightreign"/>
    <s v="Plague of Locusts"/>
    <s v="Completed Sentient Pest raid"/>
    <n v="0.48700000000000004"/>
    <s v="data:,"/>
    <x v="2"/>
    <x v="2"/>
    <m/>
  </r>
  <r>
    <n v="240"/>
    <s v="Elden Ring Nightreign"/>
    <s v="Nightlord Slayer"/>
    <s v="Defeated 3 different Nightlords in a row"/>
    <n v="0.47399999999999998"/>
    <s v="data:,"/>
    <x v="2"/>
    <x v="2"/>
    <m/>
  </r>
  <r>
    <n v="241"/>
    <s v="Elden Ring Nightreign"/>
    <s v="Noklateo, the Shrouded City"/>
    <s v="Found the secret of Noklateo, the Shrouded City"/>
    <n v="0.46200000000000002"/>
    <s v="data:,"/>
    <x v="2"/>
    <x v="2"/>
    <m/>
  </r>
  <r>
    <n v="242"/>
    <s v="Elden Ring Nightreign"/>
    <s v="Set and Steadfast"/>
    <s v="Acquired many pieces of high-rarity equipment on a single expedition"/>
    <n v="0.46200000000000002"/>
    <s v="data:,"/>
    <x v="2"/>
    <x v="2"/>
    <m/>
  </r>
  <r>
    <n v="243"/>
    <s v="Elden Ring Nightreign"/>
    <s v="Shifting Earth"/>
    <s v="Found the secrets of all Shifting Earth locations"/>
    <n v="0.374"/>
    <s v="data:,"/>
    <x v="2"/>
    <x v="2"/>
    <m/>
  </r>
  <r>
    <n v="244"/>
    <s v="Elden Ring Nightreign"/>
    <s v="Obtained Vessels"/>
    <s v="Acquired a great many vessels"/>
    <n v="0.29299999999999998"/>
    <s v="data:,"/>
    <x v="2"/>
    <x v="2"/>
    <m/>
  </r>
  <r>
    <n v="245"/>
    <s v="Elden Ring Nightreign"/>
    <s v="A Champion's Path"/>
    <s v="Defeated a Nightlord with each character"/>
    <n v="0.18100000000000002"/>
    <s v="data:,"/>
    <x v="2"/>
    <x v="2"/>
    <m/>
  </r>
  <r>
    <n v="246"/>
    <s v="Elden Ring Nightreign"/>
    <s v="Nightreign"/>
    <s v="Earned all achievements"/>
    <n v="0.157"/>
    <s v="data:,"/>
    <x v="2"/>
    <x v="2"/>
    <m/>
  </r>
  <r>
    <n v="247"/>
    <s v="Hollow Knight Silksong"/>
    <s v="Equipped"/>
    <s v="Acquire your first Tool"/>
    <n v="0.89900000000000002"/>
    <s v="https://shared.fastly.steamstatic.com/community_assets/images/apps/1030300/42d64a86bb4d50c2574612892ccdde465a020a54.jpg"/>
    <x v="0"/>
    <x v="0"/>
    <m/>
  </r>
  <r>
    <n v="248"/>
    <s v="Hollow Knight Silksong"/>
    <s v="Bound"/>
    <s v="Bind your first Silk Skill"/>
    <n v="0.875"/>
    <s v="https://shared.fastly.steamstatic.com/community_assets/images/apps/1030300/a34b4da6c1652ec31603b82de0e983173917b2ad.jpg"/>
    <x v="2"/>
    <x v="2"/>
    <m/>
  </r>
  <r>
    <n v="249"/>
    <s v="Hollow Knight Silksong"/>
    <s v="Liberated"/>
    <s v="Defeat the Bell Beast"/>
    <n v="0.85499999999999998"/>
    <s v="data:,"/>
    <x v="1"/>
    <x v="1"/>
    <m/>
  </r>
  <r>
    <n v="250"/>
    <s v="Hollow Knight Silksong"/>
    <s v="Granted"/>
    <s v="Grant your first wish"/>
    <n v="0.81799999999999995"/>
    <s v="data:,"/>
    <x v="2"/>
    <x v="2"/>
    <m/>
  </r>
  <r>
    <n v="251"/>
    <s v="Hollow Knight Silksong"/>
    <s v="Pharloom's Welcome"/>
    <s v="Defeat Lace in Deep Docks"/>
    <n v="0.77099999999999991"/>
    <s v="data:,"/>
    <x v="2"/>
    <x v="2"/>
    <m/>
  </r>
  <r>
    <n v="252"/>
    <s v="Hollow Knight Silksong"/>
    <s v="Servant"/>
    <s v="Defeat Fourth Chorus"/>
    <n v="0.75"/>
    <s v="data:,"/>
    <x v="2"/>
    <x v="2"/>
    <m/>
  </r>
  <r>
    <n v="253"/>
    <s v="Hollow Knight Silksong"/>
    <s v="Claimed"/>
    <s v="Claim your first Crest"/>
    <n v="0.70900000000000007"/>
    <s v="data:,"/>
    <x v="2"/>
    <x v="2"/>
    <m/>
  </r>
  <r>
    <n v="254"/>
    <s v="Hollow Knight Silksong"/>
    <s v="Restored"/>
    <s v="Acquire 2 Spool Fragments"/>
    <n v="0.66299999999999992"/>
    <s v="data:,"/>
    <x v="2"/>
    <x v="2"/>
    <m/>
  </r>
  <r>
    <n v="255"/>
    <s v="Hollow Knight Silksong"/>
    <s v="Fanatic"/>
    <s v="Defeat Widow"/>
    <n v="0.65"/>
    <s v="data:,"/>
    <x v="2"/>
    <x v="2"/>
    <m/>
  </r>
  <r>
    <n v="256"/>
    <s v="Hollow Knight Silksong"/>
    <s v="Protected"/>
    <s v="Acquire 4 Mask Shards"/>
    <n v="0.626"/>
    <s v="data:,"/>
    <x v="2"/>
    <x v="2"/>
    <m/>
  </r>
  <r>
    <n v="257"/>
    <s v="Hollow Knight Silksong"/>
    <s v="Judge"/>
    <s v="Defeat the Last Judge"/>
    <n v="0.59399999999999997"/>
    <s v="data:,"/>
    <x v="3"/>
    <x v="3"/>
    <m/>
  </r>
  <r>
    <n v="258"/>
    <s v="Hollow Knight Silksong"/>
    <s v="Last Dance"/>
    <s v="Defeat the Cogwork Dancers"/>
    <n v="0.57299999999999995"/>
    <s v="data:,"/>
    <x v="2"/>
    <x v="2"/>
    <m/>
  </r>
  <r>
    <n v="259"/>
    <s v="Hollow Knight Silksong"/>
    <s v="Keen Hunter"/>
    <s v="Grant Nuu's wish"/>
    <n v="0.54"/>
    <s v="data:,"/>
    <x v="2"/>
    <x v="2"/>
    <m/>
  </r>
  <r>
    <n v="260"/>
    <s v="Hollow Knight Silksong"/>
    <s v="Tragedian"/>
    <s v="Defeat Trobbio"/>
    <n v="0.51800000000000002"/>
    <s v="data:,"/>
    <x v="2"/>
    <x v="2"/>
    <m/>
  </r>
  <r>
    <n v="261"/>
    <s v="Hollow Knight Silksong"/>
    <s v="Flea Finder"/>
    <s v="Rescue half of Pharloom's lost fleas"/>
    <n v="0.504"/>
    <s v="data:,"/>
    <x v="2"/>
    <x v="2"/>
    <m/>
  </r>
  <r>
    <n v="262"/>
    <s v="Hollow Knight Silksong"/>
    <s v="Harmonious"/>
    <s v="Learn the Citadel's Threefold song"/>
    <n v="0.47899999999999998"/>
    <s v="data:,"/>
    <x v="2"/>
    <x v="2"/>
    <m/>
  </r>
  <r>
    <n v="263"/>
    <s v="Hollow Knight Silksong"/>
    <s v="Grey Ghost"/>
    <s v="Defeat Phantom"/>
    <n v="0.47299999999999998"/>
    <s v="data:,"/>
    <x v="2"/>
    <x v="2"/>
    <m/>
  </r>
  <r>
    <n v="264"/>
    <s v="Hollow Knight Silksong"/>
    <s v="Resident"/>
    <s v="Acquire your own Bellhome"/>
    <n v="0.46500000000000002"/>
    <s v="data:,"/>
    <x v="2"/>
    <x v="2"/>
    <m/>
  </r>
  <r>
    <n v="265"/>
    <s v="Hollow Knight Silksong"/>
    <s v="White Knight"/>
    <s v="Defeat Lace in the Cradle"/>
    <n v="0.46299999999999997"/>
    <s v="data:,"/>
    <x v="2"/>
    <x v="2"/>
    <m/>
  </r>
  <r>
    <n v="266"/>
    <s v="Hollow Knight Silksong"/>
    <s v="Transported"/>
    <s v="Open all of the Citadel's Ventrica Stations"/>
    <n v="0.45600000000000002"/>
    <s v="data:,"/>
    <x v="2"/>
    <x v="2"/>
    <m/>
  </r>
  <r>
    <n v="267"/>
    <s v="Hollow Knight Silksong"/>
    <s v="Connected"/>
    <s v="Open all of Pharloom's Bellways"/>
    <n v="0.439"/>
    <s v="data:,"/>
    <x v="2"/>
    <x v="2"/>
    <m/>
  </r>
  <r>
    <n v="268"/>
    <s v="Hollow Knight Silksong"/>
    <s v="Glutton"/>
    <s v="Satiate the Grand Gourmand"/>
    <n v="0.42399999999999999"/>
    <s v="data:,"/>
    <x v="2"/>
    <x v="2"/>
    <m/>
  </r>
  <r>
    <n v="269"/>
    <s v="Hollow Knight Silksong"/>
    <s v="Trail's End"/>
    <s v="Grant Shakra's wish"/>
    <n v="0.42299999999999999"/>
    <s v="data:,"/>
    <x v="2"/>
    <x v="2"/>
    <m/>
  </r>
  <r>
    <n v="270"/>
    <s v="Hollow Knight Silksong"/>
    <s v="Weaver Queen"/>
    <s v="Defeat Grand Mother Silk and bind her power"/>
    <n v="0.40600000000000003"/>
    <s v="data:,"/>
    <x v="4"/>
    <x v="4"/>
    <m/>
  </r>
  <r>
    <n v="271"/>
    <s v="Hollow Knight Silksong"/>
    <s v="Heretic"/>
    <s v="Defeat First Sinner"/>
    <n v="0.40500000000000003"/>
    <s v="data:,"/>
    <x v="2"/>
    <x v="2"/>
    <m/>
  </r>
  <r>
    <n v="272"/>
    <s v="Hollow Knight Silksong"/>
    <s v="Snared Silk"/>
    <s v="Defeat Grand Mother Silk and entrap her with the Soul Snare"/>
    <n v="0.39200000000000002"/>
    <s v="data:,"/>
    <x v="2"/>
    <x v="2"/>
    <m/>
  </r>
  <r>
    <n v="273"/>
    <s v="Hollow Knight Silksong"/>
    <s v="Bonded"/>
    <s v="Learn the Beastling Call"/>
    <n v="0.38799999999999996"/>
    <s v="data:,"/>
    <x v="2"/>
    <x v="2"/>
    <m/>
  </r>
  <r>
    <n v="274"/>
    <s v="Hollow Knight Silksong"/>
    <s v="Fleafriend"/>
    <s v="Rescue all of Pharloom's lost fleas and receive their final gift"/>
    <n v="0.35"/>
    <s v="data:,"/>
    <x v="2"/>
    <x v="2"/>
    <m/>
  </r>
  <r>
    <n v="275"/>
    <s v="Hollow Knight Silksong"/>
    <s v="Regenerated"/>
    <s v="Acquire all Silk Hearts"/>
    <n v="0.33700000000000002"/>
    <s v="data:,"/>
    <x v="2"/>
    <x v="2"/>
    <m/>
  </r>
  <r>
    <n v="276"/>
    <s v="Hollow Knight Silksong"/>
    <s v="Tyrant"/>
    <s v="Defeat Crust King Khann"/>
    <n v="0.33399999999999996"/>
    <s v="data:,"/>
    <x v="2"/>
    <x v="2"/>
    <m/>
  </r>
  <r>
    <n v="277"/>
    <s v="Hollow Knight Silksong"/>
    <s v="Seed"/>
    <s v="Defeat Nyleth"/>
    <n v="0.33200000000000002"/>
    <s v="data:,"/>
    <x v="2"/>
    <x v="2"/>
    <m/>
  </r>
  <r>
    <n v="278"/>
    <s v="Hollow Knight Silksong"/>
    <s v="Diva"/>
    <s v="Defeat Skarrsinger Karmelita"/>
    <n v="0.32299999999999995"/>
    <s v="data:,"/>
    <x v="2"/>
    <x v="2"/>
    <m/>
  </r>
  <r>
    <n v="279"/>
    <s v="Hollow Knight Silksong"/>
    <s v="Remembrance"/>
    <s v="Claim the Everbloom from within a distant memory"/>
    <n v="0.32100000000000001"/>
    <s v="data:,"/>
    <x v="2"/>
    <x v="2"/>
    <m/>
  </r>
  <r>
    <n v="280"/>
    <s v="Hollow Knight Silksong"/>
    <s v="Fatal Resolve"/>
    <s v="Defeat Pinstress"/>
    <n v="0.32"/>
    <s v="data:,"/>
    <x v="2"/>
    <x v="2"/>
    <m/>
  </r>
  <r>
    <n v="281"/>
    <s v="Hollow Knight Silksong"/>
    <s v="Consumed"/>
    <s v="Claim all Crests"/>
    <n v="0.31"/>
    <s v="data:,"/>
    <x v="2"/>
    <x v="2"/>
    <m/>
  </r>
  <r>
    <n v="282"/>
    <s v="Hollow Knight Silksong"/>
    <s v="Hero's Call"/>
    <s v="Defeat Lost Garmond"/>
    <n v="0.30399999999999999"/>
    <s v="data:,"/>
    <x v="2"/>
    <x v="2"/>
    <m/>
  </r>
  <r>
    <n v="283"/>
    <s v="Hollow Knight Silksong"/>
    <s v="Woven"/>
    <s v="Bind all Silk Skills"/>
    <n v="0.30099999999999999"/>
    <s v="data:,"/>
    <x v="2"/>
    <x v="2"/>
    <m/>
  </r>
  <r>
    <n v="284"/>
    <s v="Hollow Knight Silksong"/>
    <s v="Sister of the Void"/>
    <s v="Defeat Lost Lace and free Pharloom"/>
    <n v="0.29299999999999998"/>
    <s v="data:,"/>
    <x v="5"/>
    <x v="5"/>
    <m/>
  </r>
  <r>
    <n v="285"/>
    <s v="Hollow Knight Silksong"/>
    <s v="Cartographer"/>
    <s v="Acquire a map of each area"/>
    <n v="0.29199999999999998"/>
    <s v="data:,"/>
    <x v="2"/>
    <x v="2"/>
    <m/>
  </r>
  <r>
    <n v="286"/>
    <s v="Hollow Knight Silksong"/>
    <s v="Lamenter"/>
    <s v="Defeat the Clover Dancers"/>
    <n v="0.28899999999999998"/>
    <s v="data:,"/>
    <x v="2"/>
    <x v="2"/>
    <m/>
  </r>
  <r>
    <n v="287"/>
    <s v="Hollow Knight Silksong"/>
    <s v="Entwined"/>
    <s v="Bind Eva"/>
    <n v="0.25900000000000001"/>
    <s v="data:,"/>
    <x v="2"/>
    <x v="2"/>
    <m/>
  </r>
  <r>
    <n v="288"/>
    <s v="Hollow Knight Silksong"/>
    <s v="Extended"/>
    <s v="Acquire all Spool Fragments"/>
    <n v="0.23699999999999999"/>
    <s v="data:,"/>
    <x v="2"/>
    <x v="2"/>
    <m/>
  </r>
  <r>
    <n v="289"/>
    <s v="Hollow Knight Silksong"/>
    <s v="Masked"/>
    <s v="Acquire all Mask Shards"/>
    <n v="0.23100000000000001"/>
    <s v="data:,"/>
    <x v="2"/>
    <x v="2"/>
    <m/>
  </r>
  <r>
    <n v="290"/>
    <s v="Hollow Knight Silksong"/>
    <s v="Arsenal"/>
    <s v="Acquire all Tools"/>
    <n v="0.21100000000000002"/>
    <s v="data:,"/>
    <x v="2"/>
    <x v="2"/>
    <m/>
  </r>
  <r>
    <n v="291"/>
    <s v="Hollow Knight Silksong"/>
    <s v="Passing of the Age"/>
    <s v="Grant the Herald's wish and finish the game"/>
    <n v="0.16899999999999998"/>
    <s v="data:,"/>
    <x v="2"/>
    <x v="2"/>
    <m/>
  </r>
  <r>
    <n v="292"/>
    <s v="Hollow Knight Silksong"/>
    <s v="Twisted Child"/>
    <s v="Defeat Grand Mother Silk while cursed"/>
    <n v="0.16899999999999998"/>
    <s v="data:,"/>
    <x v="2"/>
    <x v="2"/>
    <m/>
  </r>
  <r>
    <n v="293"/>
    <s v="Hollow Knight Silksong"/>
    <s v="Completion"/>
    <s v="Achieve 100% game completion and finish the game"/>
    <n v="0.16600000000000001"/>
    <s v="data:,"/>
    <x v="2"/>
    <x v="2"/>
    <m/>
  </r>
  <r>
    <n v="294"/>
    <s v="Hollow Knight Silksong"/>
    <s v="True Hunter"/>
    <s v="Receive the Hunter's Memento"/>
    <n v="9.1999999999999998E-2"/>
    <s v="data:,"/>
    <x v="2"/>
    <x v="2"/>
    <m/>
  </r>
  <r>
    <n v="295"/>
    <s v="Hollow Knight Silksong"/>
    <s v="Speedrunner"/>
    <s v="Complete the game in under 5 hours"/>
    <n v="4.7E-2"/>
    <s v="data:,"/>
    <x v="2"/>
    <x v="2"/>
    <m/>
  </r>
  <r>
    <n v="296"/>
    <s v="Hollow Knight Silksong"/>
    <s v="Speed Completion"/>
    <s v="Achieve 100% game completion and finish the game in under 30 hours"/>
    <n v="3.7999999999999999E-2"/>
    <s v="data:,"/>
    <x v="2"/>
    <x v="2"/>
    <m/>
  </r>
  <r>
    <n v="297"/>
    <s v="Hollow Knight Silksong"/>
    <s v="Steel Soul"/>
    <s v="Finish the game in Steel Soul mode"/>
    <n v="3.6000000000000004E-2"/>
    <s v="data:,"/>
    <x v="2"/>
    <x v="2"/>
    <m/>
  </r>
  <r>
    <n v="298"/>
    <s v="Hollow Knight Silksong"/>
    <s v="Steel Heart"/>
    <s v="Achieve 100% game completion and finish the game in Steel Soul mode"/>
    <n v="2.7999999999999997E-2"/>
    <s v="data:,"/>
    <x v="2"/>
    <x v="2"/>
    <m/>
  </r>
  <r>
    <n v="299"/>
    <s v="Hollow Knight"/>
    <s v="Charmed"/>
    <s v="Acquire your first Charm"/>
    <n v="0.76900000000000002"/>
    <s v="https://shared.fastly.steamstatic.com/community_assets/images/apps/367520/6d15e62c48ba57d23e72b8f24fb775a44223cb8f.jpg"/>
    <x v="0"/>
    <x v="0"/>
    <m/>
  </r>
  <r>
    <n v="300"/>
    <s v="Hollow Knight"/>
    <s v="Falsehood"/>
    <s v="Defeat the False Knight"/>
    <n v="0.71499999999999997"/>
    <s v="https://shared.fastly.steamstatic.com/community_assets/images/apps/367520/ef1f6b825646067c63f5703d1c7ba38b52d94259.jpg"/>
    <x v="1"/>
    <x v="1"/>
    <m/>
  </r>
  <r>
    <n v="301"/>
    <s v="Hollow Knight"/>
    <s v="Test of Resolve"/>
    <s v="Defeat Hornet in Greenpath"/>
    <n v="0.629"/>
    <s v="data:,"/>
    <x v="3"/>
    <x v="3"/>
    <m/>
  </r>
  <r>
    <n v="302"/>
    <s v="Hollow Knight"/>
    <s v="Connection"/>
    <s v="Open half of Hallownest's Stag Stations"/>
    <n v="0.49099999999999999"/>
    <s v="data:,"/>
    <x v="2"/>
    <x v="2"/>
    <m/>
  </r>
  <r>
    <n v="303"/>
    <s v="Hollow Knight"/>
    <s v="Protected"/>
    <s v="Acquire 4 Mask Shards"/>
    <n v="0.47799999999999998"/>
    <s v="data:,"/>
    <x v="2"/>
    <x v="2"/>
    <m/>
  </r>
  <r>
    <n v="304"/>
    <s v="Hollow Knight"/>
    <s v="Illumination"/>
    <s v="Defeat the Soul Master"/>
    <n v="0.47"/>
    <s v="data:,"/>
    <x v="4"/>
    <x v="4"/>
    <m/>
  </r>
  <r>
    <n v="305"/>
    <s v="Hollow Knight"/>
    <s v="Respect"/>
    <s v="Defeat the Mantis Lords"/>
    <n v="0.46500000000000002"/>
    <s v="data:,"/>
    <x v="2"/>
    <x v="2"/>
    <m/>
  </r>
  <r>
    <n v="306"/>
    <s v="Hollow Knight"/>
    <s v="Soulful"/>
    <s v="Acquire 3 Vessel Fragments"/>
    <n v="0.43700000000000006"/>
    <s v="data:,"/>
    <x v="2"/>
    <x v="2"/>
    <m/>
  </r>
  <r>
    <n v="307"/>
    <s v="Hollow Knight"/>
    <s v="Honour"/>
    <s v="Defeat the Dung Defender"/>
    <n v="0.42700000000000005"/>
    <s v="data:,"/>
    <x v="2"/>
    <x v="2"/>
    <m/>
  </r>
  <r>
    <n v="308"/>
    <s v="Hollow Knight"/>
    <s v="Release"/>
    <s v="Defeat the Broken Vessel"/>
    <n v="0.41799999999999998"/>
    <s v="data:,"/>
    <x v="2"/>
    <x v="2"/>
    <m/>
  </r>
  <r>
    <n v="309"/>
    <s v="Hollow Knight"/>
    <s v="Enchanted"/>
    <s v="Acquire half of Hallownest's Charms"/>
    <n v="0.39799999999999996"/>
    <s v="data:,"/>
    <x v="2"/>
    <x v="2"/>
    <m/>
  </r>
  <r>
    <n v="310"/>
    <s v="Hollow Knight"/>
    <s v="Beast"/>
    <s v="Destroy Herrah the Beast"/>
    <n v="0.38700000000000001"/>
    <s v="data:,"/>
    <x v="2"/>
    <x v="2"/>
    <m/>
  </r>
  <r>
    <n v="311"/>
    <s v="Hollow Knight"/>
    <s v="Proof of Resolve"/>
    <s v="Defeat Hornet in Kingdom's Edge"/>
    <n v="0.38500000000000001"/>
    <s v="data:,"/>
    <x v="2"/>
    <x v="2"/>
    <m/>
  </r>
  <r>
    <n v="312"/>
    <s v="Hollow Knight"/>
    <s v="Grubfriend"/>
    <s v="Rescue half of the imprisoned grubs"/>
    <n v="0.38299999999999995"/>
    <s v="data:,"/>
    <x v="2"/>
    <x v="2"/>
    <m/>
  </r>
  <r>
    <n v="313"/>
    <s v="Hollow Knight"/>
    <s v="Attunement"/>
    <s v="Collect 600 Essence"/>
    <n v="0.38"/>
    <s v="data:,"/>
    <x v="2"/>
    <x v="2"/>
    <m/>
  </r>
  <r>
    <n v="314"/>
    <s v="Hollow Knight"/>
    <s v="Teacher"/>
    <s v="Destroy Monomon the Teacher"/>
    <n v="0.376"/>
    <s v="data:,"/>
    <x v="2"/>
    <x v="2"/>
    <m/>
  </r>
  <r>
    <n v="315"/>
    <s v="Hollow Knight"/>
    <s v="Warrior"/>
    <s v="Complete the Trial of the Warrior"/>
    <n v="0.375"/>
    <s v="data:,"/>
    <x v="2"/>
    <x v="2"/>
    <m/>
  </r>
  <r>
    <n v="316"/>
    <s v="Hollow Knight"/>
    <s v="Watcher"/>
    <s v="Destroy Lurien the Watcher"/>
    <n v="0.374"/>
    <s v="data:,"/>
    <x v="2"/>
    <x v="2"/>
    <m/>
  </r>
  <r>
    <n v="317"/>
    <s v="Hollow Knight"/>
    <s v="Cartographer"/>
    <s v="Acquire a map of each area"/>
    <n v="0.36299999999999999"/>
    <s v="data:,"/>
    <x v="2"/>
    <x v="2"/>
    <m/>
  </r>
  <r>
    <n v="318"/>
    <s v="Hollow Knight"/>
    <s v="Conqueror"/>
    <s v="Complete the Trial of the Conqueror"/>
    <n v="0.34299999999999997"/>
    <s v="data:,"/>
    <x v="2"/>
    <x v="2"/>
    <m/>
  </r>
  <r>
    <n v="319"/>
    <s v="Hollow Knight"/>
    <s v="Execution"/>
    <s v="Defeat the Traitor Lord"/>
    <n v="0.33100000000000002"/>
    <s v="data:,"/>
    <x v="2"/>
    <x v="2"/>
    <m/>
  </r>
  <r>
    <n v="320"/>
    <s v="Hollow Knight"/>
    <s v="Hope"/>
    <s v="Open all of Hallownest's Stag Stations and discover the Stag Nest"/>
    <n v="0.32899999999999996"/>
    <s v="data:,"/>
    <x v="2"/>
    <x v="2"/>
    <m/>
  </r>
  <r>
    <n v="321"/>
    <s v="Hollow Knight"/>
    <s v="Obsession"/>
    <s v="Defeat the Collector"/>
    <n v="0.309"/>
    <s v="data:,"/>
    <x v="2"/>
    <x v="2"/>
    <m/>
  </r>
  <r>
    <n v="322"/>
    <s v="Hollow Knight"/>
    <s v="Peace"/>
    <s v="Defeat the Lost Kin"/>
    <n v="0.30499999999999999"/>
    <s v="data:,"/>
    <x v="2"/>
    <x v="2"/>
    <m/>
  </r>
  <r>
    <n v="323"/>
    <s v="Hollow Knight"/>
    <s v="Awakening"/>
    <s v="Collect 1800 Essence and awaken the Dream Nail"/>
    <n v="0.3"/>
    <s v="data:,"/>
    <x v="2"/>
    <x v="2"/>
    <m/>
  </r>
  <r>
    <n v="324"/>
    <s v="Hollow Knight"/>
    <s v="Rivalry"/>
    <s v="Defeat Zote in the Colosseum of Fools"/>
    <n v="0.28699999999999998"/>
    <s v="data:,"/>
    <x v="2"/>
    <x v="2"/>
    <m/>
  </r>
  <r>
    <n v="325"/>
    <s v="Hollow Knight"/>
    <s v="Grand Performance"/>
    <s v="Defeat Troupe Leader Grimm"/>
    <n v="0.26500000000000001"/>
    <s v="data:,"/>
    <x v="6"/>
    <x v="6"/>
    <m/>
  </r>
  <r>
    <n v="326"/>
    <s v="Hollow Knight"/>
    <s v="Strength"/>
    <s v="Defeat the Failed Champion"/>
    <n v="0.26300000000000001"/>
    <s v="data:,"/>
    <x v="2"/>
    <x v="2"/>
    <m/>
  </r>
  <r>
    <n v="327"/>
    <s v="Hollow Knight"/>
    <s v="Metamorphosis"/>
    <s v="Rescue all of the imprisoned grubs"/>
    <n v="0.25900000000000001"/>
    <s v="data:,"/>
    <x v="2"/>
    <x v="2"/>
    <m/>
  </r>
  <r>
    <n v="328"/>
    <s v="Hollow Knight"/>
    <s v="Void"/>
    <s v="Remember the past and unite the Abyss"/>
    <n v="0.25800000000000001"/>
    <s v="data:,"/>
    <x v="2"/>
    <x v="2"/>
    <m/>
  </r>
  <r>
    <n v="329"/>
    <s v="Hollow Knight"/>
    <s v="Worldsoul"/>
    <s v="Acquire all Vessel Fragments"/>
    <n v="0.252"/>
    <s v="data:,"/>
    <x v="2"/>
    <x v="2"/>
    <m/>
  </r>
  <r>
    <n v="330"/>
    <s v="Hollow Knight"/>
    <s v="Witness"/>
    <s v="Spend a final moment with Quirrel"/>
    <n v="0.248"/>
    <s v="data:,"/>
    <x v="2"/>
    <x v="2"/>
    <m/>
  </r>
  <r>
    <n v="331"/>
    <s v="Hollow Knight"/>
    <s v="The Hollow Knight"/>
    <s v="Defeat the Hollow Knight and become the Vessel"/>
    <n v="0.24100000000000002"/>
    <s v="data:,"/>
    <x v="2"/>
    <x v="2"/>
    <m/>
  </r>
  <r>
    <n v="332"/>
    <s v="Hollow Knight"/>
    <s v="Mortality"/>
    <s v="Defeat the Soul Tyrant"/>
    <n v="0.23899999999999999"/>
    <s v="data:,"/>
    <x v="2"/>
    <x v="2"/>
    <m/>
  </r>
  <r>
    <n v="333"/>
    <s v="Hollow Knight"/>
    <s v="Dark Romance"/>
    <s v="Defeat Grey Prince Zote"/>
    <n v="0.215"/>
    <s v="data:,"/>
    <x v="2"/>
    <x v="2"/>
    <m/>
  </r>
  <r>
    <n v="334"/>
    <s v="Hollow Knight"/>
    <s v="Solace"/>
    <s v="Bring peace to the Grey Mourner"/>
    <n v="0.20899999999999999"/>
    <s v="data:,"/>
    <x v="2"/>
    <x v="2"/>
    <m/>
  </r>
  <r>
    <n v="335"/>
    <s v="Hollow Knight"/>
    <s v="Fool"/>
    <s v="Complete the Trial of the Fool"/>
    <n v="0.20199999999999999"/>
    <s v="data:,"/>
    <x v="2"/>
    <x v="2"/>
    <m/>
  </r>
  <r>
    <n v="336"/>
    <s v="Hollow Knight"/>
    <s v="Ascension"/>
    <s v="Collect 2400 Essence and hear the Seer's final words"/>
    <n v="0.20100000000000001"/>
    <s v="data:,"/>
    <x v="2"/>
    <x v="2"/>
    <m/>
  </r>
  <r>
    <n v="337"/>
    <s v="Hollow Knight"/>
    <s v="Dream No More"/>
    <s v="Defeat the Radiance and consume the light"/>
    <n v="0.20100000000000001"/>
    <s v="data:,"/>
    <x v="5"/>
    <x v="5"/>
    <m/>
  </r>
  <r>
    <n v="338"/>
    <s v="Hollow Knight"/>
    <s v="Masked"/>
    <s v="Acquire all Mask Shards"/>
    <n v="0.20100000000000001"/>
    <s v="data:,"/>
    <x v="2"/>
    <x v="2"/>
    <m/>
  </r>
  <r>
    <n v="339"/>
    <s v="Hollow Knight"/>
    <s v="Blessed"/>
    <s v="Acquire all Charms and receive Salubra's blessing"/>
    <n v="0.2"/>
    <s v="data:,"/>
    <x v="2"/>
    <x v="2"/>
    <m/>
  </r>
  <r>
    <n v="340"/>
    <s v="Hollow Knight"/>
    <s v="Completion"/>
    <s v="Achieve 100% game completion and finish the game"/>
    <n v="0.188"/>
    <s v="data:,"/>
    <x v="2"/>
    <x v="2"/>
    <m/>
  </r>
  <r>
    <n v="341"/>
    <s v="Hollow Knight"/>
    <s v="Memory"/>
    <s v="Defeat White Defender"/>
    <n v="0.18600000000000003"/>
    <s v="data:,"/>
    <x v="2"/>
    <x v="2"/>
    <m/>
  </r>
  <r>
    <n v="342"/>
    <s v="Hollow Knight"/>
    <s v="Sealed Siblings"/>
    <s v="Defeat the Hollow Knight with Hornet by your side"/>
    <n v="0.18600000000000003"/>
    <s v="data:,"/>
    <x v="2"/>
    <x v="2"/>
    <m/>
  </r>
  <r>
    <n v="343"/>
    <s v="Hollow Knight"/>
    <s v="Purity"/>
    <s v="Slay the Nailsmith with the Pure Nail"/>
    <n v="0.184"/>
    <s v="data:,"/>
    <x v="2"/>
    <x v="2"/>
    <m/>
  </r>
  <r>
    <n v="344"/>
    <s v="Hollow Knight"/>
    <s v="Brotherhood"/>
    <s v="Complete the Pantheon of the Master"/>
    <n v="0.17100000000000001"/>
    <s v="data:,"/>
    <x v="2"/>
    <x v="2"/>
    <m/>
  </r>
  <r>
    <n v="345"/>
    <s v="Hollow Knight"/>
    <s v="Inspiration"/>
    <s v="Complete the Pantheon of the Painter"/>
    <n v="0.16200000000000001"/>
    <s v="data:,"/>
    <x v="2"/>
    <x v="2"/>
    <m/>
  </r>
  <r>
    <n v="346"/>
    <s v="Hollow Knight"/>
    <s v="Ritual"/>
    <s v="Defeat the Nightmare King and complete the Ritual"/>
    <n v="0.16"/>
    <s v="data:,"/>
    <x v="7"/>
    <x v="7"/>
    <m/>
  </r>
  <r>
    <n v="347"/>
    <s v="Hollow Knight"/>
    <s v="Focus"/>
    <s v="Complete the Pantheon of the Sage"/>
    <n v="0.121"/>
    <s v="data:,"/>
    <x v="2"/>
    <x v="2"/>
    <m/>
  </r>
  <r>
    <n v="348"/>
    <s v="Hollow Knight"/>
    <s v="Happy Couple"/>
    <s v="Allow the Nailsmith to find a new calling"/>
    <n v="0.1"/>
    <s v="data:,"/>
    <x v="2"/>
    <x v="2"/>
    <m/>
  </r>
  <r>
    <n v="349"/>
    <s v="Hollow Knight"/>
    <s v="Soul &amp; Shade"/>
    <s v="Complete the Pantheon of the Knight"/>
    <n v="9.6000000000000002E-2"/>
    <s v="data:,"/>
    <x v="2"/>
    <x v="2"/>
    <m/>
  </r>
  <r>
    <n v="350"/>
    <s v="Hollow Knight"/>
    <s v="Banishment"/>
    <s v="Banish the Grimm Troupe from Hallownest"/>
    <n v="0.08"/>
    <s v="data:,"/>
    <x v="2"/>
    <x v="2"/>
    <m/>
  </r>
  <r>
    <n v="351"/>
    <s v="Hollow Knight"/>
    <s v="Keen Hunter"/>
    <s v="Record all of Hallownest's creatures in the Hunter's Journal"/>
    <n v="7.5999999999999998E-2"/>
    <s v="data:,"/>
    <x v="2"/>
    <x v="2"/>
    <m/>
  </r>
  <r>
    <n v="352"/>
    <s v="Hollow Knight"/>
    <s v="Neglect"/>
    <s v="Leave Zote to die"/>
    <n v="7.5999999999999998E-2"/>
    <s v="data:,"/>
    <x v="2"/>
    <x v="2"/>
    <m/>
  </r>
  <r>
    <n v="353"/>
    <s v="Hollow Knight"/>
    <s v="True Hunter"/>
    <s v="Receive the Hunter's Mark"/>
    <n v="7.0000000000000007E-2"/>
    <s v="data:,"/>
    <x v="2"/>
    <x v="2"/>
    <m/>
  </r>
  <r>
    <n v="354"/>
    <s v="Hollow Knight"/>
    <s v="Passing of the Age"/>
    <s v="Aid the Herald in moving on"/>
    <n v="6.8000000000000005E-2"/>
    <s v="data:,"/>
    <x v="2"/>
    <x v="2"/>
    <m/>
  </r>
  <r>
    <n v="355"/>
    <s v="Hollow Knight"/>
    <s v="Pure Completion"/>
    <s v="Achieve 112% game completion and finish the game."/>
    <n v="6.8000000000000005E-2"/>
    <s v="data:,"/>
    <x v="2"/>
    <x v="2"/>
    <m/>
  </r>
  <r>
    <n v="356"/>
    <s v="Hollow Knight"/>
    <s v="Speedrun 1"/>
    <s v="Complete the game in under 10 hours"/>
    <n v="6.3E-2"/>
    <s v="data:,"/>
    <x v="2"/>
    <x v="2"/>
    <m/>
  </r>
  <r>
    <n v="357"/>
    <s v="Hollow Knight"/>
    <s v="Speed Completion"/>
    <s v="Achieve 100% game completion and finish the game in under 20 hours"/>
    <n v="5.4000000000000006E-2"/>
    <s v="data:,"/>
    <x v="2"/>
    <x v="2"/>
    <m/>
  </r>
  <r>
    <n v="358"/>
    <s v="Hollow Knight"/>
    <s v="Embrace the Void"/>
    <s v="Ascend the Pantheon of Hallownest and take your place at its peak"/>
    <n v="5.2000000000000005E-2"/>
    <s v="data:,"/>
    <x v="2"/>
    <x v="2"/>
    <m/>
  </r>
  <r>
    <n v="359"/>
    <s v="Hollow Knight"/>
    <s v="Speedrun 2"/>
    <s v="Complete the game in under 5 hours"/>
    <n v="5.2000000000000005E-2"/>
    <s v="data:,"/>
    <x v="2"/>
    <x v="2"/>
    <m/>
  </r>
  <r>
    <n v="360"/>
    <s v="Hollow Knight"/>
    <s v="Steel Soul"/>
    <s v="Finish the game in Steel Soul mode"/>
    <n v="4.4999999999999998E-2"/>
    <s v="data:,"/>
    <x v="2"/>
    <x v="2"/>
    <m/>
  </r>
  <r>
    <n v="361"/>
    <s v="Hollow Knight"/>
    <s v="Steel Heart"/>
    <s v="Achieve 100% game completion and finish the game in Steel Soul mode"/>
    <n v="3.7999999999999999E-2"/>
    <s v="data:,"/>
    <x v="2"/>
    <x v="2"/>
    <m/>
  </r>
  <r>
    <n v="362"/>
    <s v="Sifu"/>
    <s v="The Old Grandmaster"/>
    <s v="Clear the prologue."/>
    <n v="0.95299999999999996"/>
    <s v="https://shared.fastly.steamstatic.com/community_assets/images/apps/2138710/7ba28c776de1066c89cde64874d8747b23908e2d.jpg"/>
    <x v="0"/>
    <x v="0"/>
    <m/>
  </r>
  <r>
    <n v="363"/>
    <s v="Sifu"/>
    <s v="Life is your teacher"/>
    <s v="Unlock your first skill."/>
    <n v="0.82499999999999996"/>
    <s v="https://shared.fastly.steamstatic.com/community_assets/images/apps/2138710/e3af2ef5cfb59a051ca5af8b8ede2a6fa6213a60.jpg"/>
    <x v="2"/>
    <x v="2"/>
    <m/>
  </r>
  <r>
    <n v="364"/>
    <s v="Sifu"/>
    <s v="Lightning Hands"/>
    <s v="Perform 3 takedowns within 12 seconds. (Ignored in introduction level.)"/>
    <n v="0.77400000000000002"/>
    <s v="data:,"/>
    <x v="2"/>
    <x v="2"/>
    <m/>
  </r>
  <r>
    <n v="365"/>
    <s v="Sifu"/>
    <s v="The Assault"/>
    <s v="Kill Fajar at the end of the Squats."/>
    <n v="0.71599999999999997"/>
    <s v="data:,"/>
    <x v="1"/>
    <x v="1"/>
    <m/>
  </r>
  <r>
    <n v="366"/>
    <s v="Sifu"/>
    <s v="Old Child"/>
    <s v="Reach your oldest appearance. Will you still have enough strength left to reach your goal?"/>
    <n v="0.48399999999999999"/>
    <s v="data:,"/>
    <x v="2"/>
    <x v="2"/>
    <m/>
  </r>
  <r>
    <n v="367"/>
    <s v="Sifu"/>
    <s v="Stuntmaster"/>
    <s v="Climbing and going across the environment allows you to control the flow of the fight."/>
    <n v="0.48200000000000004"/>
    <s v="data:,"/>
    <x v="2"/>
    <x v="2"/>
    <m/>
  </r>
  <r>
    <n v="368"/>
    <s v="Sifu"/>
    <s v="State of constant learning"/>
    <s v="Permanently unlock a skill for the first time."/>
    <n v="0.46399999999999997"/>
    <s v="data:,"/>
    <x v="2"/>
    <x v="2"/>
    <m/>
  </r>
  <r>
    <n v="369"/>
    <s v="Sifu"/>
    <s v="The Hateful Pole Fighter"/>
    <s v="Kill Sean at the end of the Club."/>
    <n v="0.45899999999999996"/>
    <s v="data:,"/>
    <x v="3"/>
    <x v="3"/>
    <m/>
  </r>
  <r>
    <n v="370"/>
    <s v="Sifu"/>
    <s v="Street Fighting"/>
    <s v="Anything can be a weapon, so keep using your environment to your advantage. All is fair in such fights! (Ignored in training mode.)"/>
    <n v="0.45600000000000002"/>
    <s v="data:,"/>
    <x v="2"/>
    <x v="2"/>
    <m/>
  </r>
  <r>
    <n v="371"/>
    <s v="Sifu"/>
    <s v="Qi Gong: Essence"/>
    <s v="Receive the highest age-based shrine reward for the first time."/>
    <n v="0.44299999999999995"/>
    <s v="data:,"/>
    <x v="2"/>
    <x v="2"/>
    <m/>
  </r>
  <r>
    <n v="372"/>
    <s v="Sifu"/>
    <s v="I know Kung-Fu"/>
    <s v="Reach a level score of 10 000."/>
    <n v="0.40200000000000002"/>
    <s v="data:,"/>
    <x v="2"/>
    <x v="2"/>
    <m/>
  </r>
  <r>
    <n v="373"/>
    <s v="Sifu"/>
    <s v="Rumble in the Hangar"/>
    <s v="In the Squats, clear the hangar in less than 1 minute 20 seconds after being detected by the main group."/>
    <n v="0.379"/>
    <s v="data:,"/>
    <x v="2"/>
    <x v="2"/>
    <m/>
  </r>
  <r>
    <n v="374"/>
    <s v="Sifu"/>
    <s v="A Lady's Blood in the Snow"/>
    <s v="Kill Kuroki at the end of the Museum."/>
    <n v="0.34299999999999997"/>
    <s v="data:,"/>
    <x v="4"/>
    <x v="4"/>
    <m/>
  </r>
  <r>
    <n v="375"/>
    <s v="Sifu"/>
    <s v="Qi Gong: Breath"/>
    <s v="Receive the highest score-based shrine reward for the first time."/>
    <n v="0.34"/>
    <s v="data:,"/>
    <x v="2"/>
    <x v="2"/>
    <m/>
  </r>
  <r>
    <n v="376"/>
    <s v="Sifu"/>
    <s v="Kill Nil"/>
    <s v="Beat any boss without dying."/>
    <n v="0.318"/>
    <s v="data:,"/>
    <x v="2"/>
    <x v="2"/>
    <m/>
  </r>
  <r>
    <n v="377"/>
    <s v="Sifu"/>
    <s v="Path of the Prospect"/>
    <s v="Unlock the mighty Calbot move."/>
    <n v="0.29100000000000004"/>
    <s v="data:,"/>
    <x v="2"/>
    <x v="2"/>
    <m/>
  </r>
  <r>
    <n v="378"/>
    <s v="Sifu"/>
    <s v="Lady Wing Chun"/>
    <s v="Kill Jinfeng at the end of the Tower."/>
    <n v="0.28100000000000003"/>
    <s v="data:,"/>
    <x v="2"/>
    <x v="2"/>
    <m/>
  </r>
  <r>
    <n v="379"/>
    <s v="Sifu"/>
    <s v="Dance of the Praying Mantis"/>
    <s v="Throwing enemies around makes handling big groups easier. (Ignored in training mode.)"/>
    <n v="0.25600000000000001"/>
    <s v="data:,"/>
    <x v="2"/>
    <x v="2"/>
    <m/>
  </r>
  <r>
    <n v="380"/>
    <s v="Sifu"/>
    <s v="Take damage to save time"/>
    <s v="In the Tower's caves, drop from a high point to get deeper faster."/>
    <n v="0.253"/>
    <s v="data:,"/>
    <x v="2"/>
    <x v="2"/>
    <m/>
  </r>
  <r>
    <n v="381"/>
    <s v="Sifu"/>
    <s v="Furious Fists"/>
    <s v="Exact your vengeance (kill Yang at the end of the Sanctuary)."/>
    <n v="0.24100000000000002"/>
    <s v="data:,"/>
    <x v="5"/>
    <x v="5"/>
    <m/>
  </r>
  <r>
    <n v="382"/>
    <s v="Sifu"/>
    <s v="Qi Gong: Mind"/>
    <s v="Receive the highest XP-based shrine reward for the first time."/>
    <n v="0.23399999999999999"/>
    <s v="data:,"/>
    <x v="2"/>
    <x v="2"/>
    <m/>
  </r>
  <r>
    <n v="383"/>
    <s v="Sifu"/>
    <s v="Kung-Fu Tussle"/>
    <s v="Hit 3 enemies in a single strike. (Ignored in introduction level.)"/>
    <n v="0.20100000000000001"/>
    <s v="data:,"/>
    <x v="2"/>
    <x v="2"/>
    <m/>
  </r>
  <r>
    <n v="384"/>
    <s v="Sifu"/>
    <s v="Scareless"/>
    <s v="Beat the game while being 50 years old or less."/>
    <n v="0.185"/>
    <s v="data:,"/>
    <x v="2"/>
    <x v="2"/>
    <m/>
  </r>
  <r>
    <n v="385"/>
    <s v="Sifu"/>
    <s v="Diligence as a goal"/>
    <s v="Get 3 stamps in any arena challenge."/>
    <n v="0.16800000000000001"/>
    <s v="data:,"/>
    <x v="2"/>
    <x v="2"/>
    <m/>
  </r>
  <r>
    <n v="386"/>
    <s v="Sifu"/>
    <s v="Muk Yan Master"/>
    <s v="Obtain the Wood talisman."/>
    <n v="0.155"/>
    <s v="data:,"/>
    <x v="2"/>
    <x v="2"/>
    <m/>
  </r>
  <r>
    <n v="387"/>
    <s v="Sifu"/>
    <s v="Tiger on Fire"/>
    <s v="Obtain the Fire talisman."/>
    <n v="0.14000000000000001"/>
    <s v="data:,"/>
    <x v="2"/>
    <x v="2"/>
    <m/>
  </r>
  <r>
    <n v="388"/>
    <s v="Sifu"/>
    <s v="Detective Story"/>
    <s v="Complete the Squats' detective board."/>
    <n v="0.13100000000000001"/>
    <s v="data:,"/>
    <x v="2"/>
    <x v="2"/>
    <m/>
  </r>
  <r>
    <n v="389"/>
    <s v="Sifu"/>
    <s v="Source of Flying Daggers"/>
    <s v="Obtain the Water talisman."/>
    <n v="0.13100000000000001"/>
    <s v="data:,"/>
    <x v="2"/>
    <x v="2"/>
    <m/>
  </r>
  <r>
    <n v="390"/>
    <s v="Sifu"/>
    <s v="Iron Money"/>
    <s v="Obtain the Metal talisman."/>
    <n v="0.12300000000000001"/>
    <s v="data:,"/>
    <x v="2"/>
    <x v="2"/>
    <m/>
  </r>
  <r>
    <n v="391"/>
    <s v="Sifu"/>
    <s v="Project Arena"/>
    <s v="Unlock a new arena pack."/>
    <n v="0.122"/>
    <s v="data:,"/>
    <x v="2"/>
    <x v="2"/>
    <m/>
  </r>
  <r>
    <n v="392"/>
    <s v="Sifu"/>
    <s v="Legendary Talismans of Wuxing"/>
    <s v="Obtain the Earth talisman and attain Wude."/>
    <n v="0.113"/>
    <s v="data:,"/>
    <x v="2"/>
    <x v="2"/>
    <m/>
  </r>
  <r>
    <n v="393"/>
    <s v="Sifu"/>
    <s v="Sword Stained With Blood"/>
    <s v="Successfully use a blade weapon's one-shot attack on an enemy. (Ignored in training mode.)"/>
    <n v="0.10300000000000001"/>
    <s v="data:,"/>
    <x v="2"/>
    <x v="2"/>
    <m/>
  </r>
  <r>
    <n v="394"/>
    <s v="Sifu"/>
    <s v="The 36th Chamber of Kung-Fu"/>
    <s v="Bare handed or with a weapon, standing up, against a wall, a ledge, or on the ground... Perform each takedown type at least once."/>
    <n v="0.10099999999999999"/>
    <s v="data:,"/>
    <x v="2"/>
    <x v="2"/>
    <m/>
  </r>
  <r>
    <n v="395"/>
    <s v="Sifu"/>
    <s v="The Pit Protector"/>
    <s v="In the Club's pit, beat the Juggernaut before any other enemy is beaten."/>
    <n v="8.900000000000001E-2"/>
    <s v="data:,"/>
    <x v="2"/>
    <x v="2"/>
    <m/>
  </r>
  <r>
    <n v="396"/>
    <s v="Sifu"/>
    <s v="Prodigal Child"/>
    <s v="Beat the game while being 25 years old or less."/>
    <n v="8.6999999999999994E-2"/>
    <s v="data:,"/>
    <x v="2"/>
    <x v="2"/>
    <m/>
  </r>
  <r>
    <n v="397"/>
    <s v="Sifu"/>
    <s v="Come Snap With Me"/>
    <s v="Give the Photo Mode a shot!"/>
    <n v="0.08"/>
    <s v="data:,"/>
    <x v="2"/>
    <x v="2"/>
    <m/>
  </r>
  <r>
    <n v="398"/>
    <s v="Sifu"/>
    <s v="Knowledge Greed"/>
    <s v="Complete the Tower's detective board."/>
    <n v="7.6999999999999999E-2"/>
    <s v="data:,"/>
    <x v="2"/>
    <x v="2"/>
    <m/>
  </r>
  <r>
    <n v="399"/>
    <s v="Sifu"/>
    <s v="Drunken Fighter"/>
    <s v="Complete the Club's detective board."/>
    <n v="7.2999999999999995E-2"/>
    <s v="data:,"/>
    <x v="2"/>
    <x v="2"/>
    <m/>
  </r>
  <r>
    <n v="400"/>
    <s v="Sifu"/>
    <s v="Martial Artist"/>
    <s v="Complete the Museum's detective board."/>
    <n v="7.2000000000000008E-2"/>
    <s v="data:,"/>
    <x v="2"/>
    <x v="2"/>
    <m/>
  </r>
  <r>
    <n v="401"/>
    <s v="Sifu"/>
    <s v="Be like water my friend"/>
    <s v="In the Museum, throw an enemy into the fountain from a higher floor."/>
    <n v="6.8000000000000005E-2"/>
    <s v="data:,"/>
    <x v="2"/>
    <x v="2"/>
    <m/>
  </r>
  <r>
    <n v="402"/>
    <s v="Sifu"/>
    <s v="Ferocity, speed, strength, accuracy"/>
    <s v="Reach a level score of 20 000."/>
    <n v="6.3E-2"/>
    <s v="data:,"/>
    <x v="2"/>
    <x v="2"/>
    <m/>
  </r>
  <r>
    <n v="403"/>
    <s v="Sifu"/>
    <s v="Bloody Sport"/>
    <s v="Clear 25 different arena challenges."/>
    <n v="6.0999999999999999E-2"/>
    <s v="data:,"/>
    <x v="2"/>
    <x v="2"/>
    <m/>
  </r>
  <r>
    <n v="404"/>
    <s v="Sifu"/>
    <s v="Healing Memory"/>
    <s v="Complete the Sanctuary's detective board."/>
    <n v="5.9000000000000004E-2"/>
    <s v="data:,"/>
    <x v="2"/>
    <x v="2"/>
    <m/>
  </r>
  <r>
    <n v="405"/>
    <s v="Sifu"/>
    <s v="The best strikes are the ones we avoid"/>
    <s v="Get gold stamps in a Survival arena challenge."/>
    <n v="4.9000000000000002E-2"/>
    <s v="data:,"/>
    <x v="2"/>
    <x v="2"/>
    <m/>
  </r>
  <r>
    <n v="406"/>
    <s v="Sifu"/>
    <s v="Fight the way you practice"/>
    <s v="Clear an arena challenge with the Custom Mode enabled."/>
    <n v="4.8000000000000001E-2"/>
    <s v="data:,"/>
    <x v="2"/>
    <x v="2"/>
    <m/>
  </r>
  <r>
    <n v="407"/>
    <s v="Sifu"/>
    <s v="Master of the Phoenix Eye Fist"/>
    <s v="Use each Focus Attack at least once. (Ignored in introduction level.)"/>
    <n v="4.7E-2"/>
    <s v="data:,"/>
    <x v="2"/>
    <x v="2"/>
    <m/>
  </r>
  <r>
    <n v="408"/>
    <s v="Sifu"/>
    <s v="Martial Hub"/>
    <s v="Clear 45 different arena challenges."/>
    <n v="4.4999999999999998E-2"/>
    <s v="data:,"/>
    <x v="2"/>
    <x v="2"/>
    <m/>
  </r>
  <r>
    <n v="409"/>
    <s v="Sifu"/>
    <s v="Deadly Venom"/>
    <s v="Get gold stamps in a Manhunt arena challenge."/>
    <n v="3.9E-2"/>
    <s v="data:,"/>
    <x v="2"/>
    <x v="2"/>
    <m/>
  </r>
  <r>
    <n v="410"/>
    <s v="Sifu"/>
    <s v="A Touch of Acumen"/>
    <s v="Get gold stamps in a Time Attack or Performance arena challenge."/>
    <n v="3.3000000000000002E-2"/>
    <s v="data:,"/>
    <x v="2"/>
    <x v="2"/>
    <m/>
  </r>
  <r>
    <n v="411"/>
    <s v="Sifu"/>
    <s v="Secure, Protect, Leave"/>
    <s v="Get gold stamps in a Capture arena challenge."/>
    <n v="2.5000000000000001E-2"/>
    <s v="data:,"/>
    <x v="2"/>
    <x v="2"/>
    <m/>
  </r>
  <r>
    <n v="412"/>
    <s v="Sifu"/>
    <s v="Warriors from the Mountain"/>
    <s v="In the Sanctuary, throw an enemy into the mountains."/>
    <n v="2.5000000000000001E-2"/>
    <s v="data:,"/>
    <x v="2"/>
    <x v="2"/>
    <m/>
  </r>
  <r>
    <n v="413"/>
    <s v="Sifu"/>
    <s v="Master of the Flying Assassins"/>
    <s v="Clear any challenge of the Heliport arena by throwing all enemies out."/>
    <n v="2.3E-2"/>
    <s v="data:,"/>
    <x v="2"/>
    <x v="2"/>
    <m/>
  </r>
  <r>
    <n v="414"/>
    <s v="Sifu"/>
    <s v="Skill and an even stronger will"/>
    <s v="Collect 240 stamps in arenas."/>
    <n v="2.2000000000000002E-2"/>
    <s v="data:,"/>
    <x v="2"/>
    <x v="2"/>
    <m/>
  </r>
  <r>
    <n v="415"/>
    <s v="Sifu"/>
    <s v="Crouching Tiger"/>
    <s v="Clear all tiger arena challenges."/>
    <n v="2.1000000000000001E-2"/>
    <s v="data:,"/>
    <x v="2"/>
    <x v="2"/>
    <m/>
  </r>
  <r>
    <n v="416"/>
    <s v="Sifu"/>
    <s v="A Bit Of Everything, Simultaneously"/>
    <s v="Attempt to clear any level with the Modifiers Randomizer enabled."/>
    <n v="1.9E-2"/>
    <s v="data:,"/>
    <x v="2"/>
    <x v="2"/>
    <m/>
  </r>
  <r>
    <n v="417"/>
    <s v="Sifu"/>
    <s v="Hidden Dragon"/>
    <s v="Clear all dragon arena challenges."/>
    <n v="1.9E-2"/>
    <s v="data:,"/>
    <x v="2"/>
    <x v="2"/>
    <m/>
  </r>
  <r>
    <n v="418"/>
    <s v="Sifu"/>
    <s v="Beatmaker"/>
    <s v="Col pugno"/>
    <n v="1.8000000000000002E-2"/>
    <s v="data:,"/>
    <x v="2"/>
    <x v="2"/>
    <m/>
  </r>
  <r>
    <n v="419"/>
    <s v="Sifu"/>
    <s v="Bonus Stage"/>
    <s v="Oh! My car"/>
    <n v="1.6E-2"/>
    <s v="data:,"/>
    <x v="2"/>
    <x v="2"/>
    <m/>
  </r>
  <r>
    <n v="420"/>
    <s v="Sifu"/>
    <s v="Fist of the Immortal"/>
    <s v="All achievements unlocked! Thank you for playing."/>
    <n v="1.4999999999999999E-2"/>
    <s v="data:,"/>
    <x v="2"/>
    <x v="2"/>
    <m/>
  </r>
  <r>
    <n v="421"/>
    <s v="Sifu"/>
    <s v="Here Cometh the Iceman"/>
    <s v="Finish the target with a snowball in the &quot;Cyclone&quot; arena challenge."/>
    <n v="1.4999999999999999E-2"/>
    <s v="data:,"/>
    <x v="2"/>
    <x v="2"/>
    <m/>
  </r>
  <r>
    <n v="422"/>
    <s v="Sifu"/>
    <s v="Fighter in the Pond"/>
    <s v="Throw the Disciple in the lake in the &quot;Bellowing Mountains&quot; arena challenge."/>
    <n v="1.2E-2"/>
    <s v="data:,"/>
    <x v="2"/>
    <x v="2"/>
    <m/>
  </r>
  <r>
    <n v="423"/>
    <s v="Hades"/>
    <s v="Escaped Tartarus"/>
    <s v="Clear Tartarus"/>
    <n v="0.81900000000000006"/>
    <s v="https://shared.fastly.steamstatic.com/community_assets/images/apps/1145360/062a2b7bdc156af9438bdc440a19833addd2ae38.jpg"/>
    <x v="1"/>
    <x v="1"/>
    <m/>
  </r>
  <r>
    <n v="424"/>
    <s v="Hades"/>
    <s v="Escaped Asphodel"/>
    <s v="Clear Asphodel"/>
    <n v="0.72299999999999998"/>
    <s v="data:,"/>
    <x v="3"/>
    <x v="3"/>
    <m/>
  </r>
  <r>
    <n v="425"/>
    <s v="Hades"/>
    <s v="Arms Collector"/>
    <s v="Unlock each of the Infernal Arms"/>
    <n v="0.624"/>
    <s v="data:,"/>
    <x v="2"/>
    <x v="2"/>
    <m/>
  </r>
  <r>
    <n v="426"/>
    <s v="Hades"/>
    <s v="Friends in High Places"/>
    <s v="Use Greater Call to invoke an Olympian's aid"/>
    <n v="0.623"/>
    <s v="data:,"/>
    <x v="2"/>
    <x v="2"/>
    <m/>
  </r>
  <r>
    <n v="427"/>
    <s v="Hades"/>
    <s v="Escaped Elysium"/>
    <s v="Clear Elysium"/>
    <n v="0.58899999999999997"/>
    <s v="data:,"/>
    <x v="4"/>
    <x v="4"/>
    <m/>
  </r>
  <r>
    <n v="428"/>
    <s v="Hades"/>
    <s v="Chthonic Colleagues"/>
    <s v="Fulfill the 'Chthonic Colleagues' Prophecy"/>
    <n v="0.56100000000000005"/>
    <s v="data:,"/>
    <x v="2"/>
    <x v="2"/>
    <m/>
  </r>
  <r>
    <n v="429"/>
    <s v="Hades"/>
    <s v="Is There No Escape?"/>
    <s v="Clear an escape attempt"/>
    <n v="0.46799999999999997"/>
    <s v="data:,"/>
    <x v="5"/>
    <x v="5"/>
    <m/>
  </r>
  <r>
    <n v="430"/>
    <s v="Hades"/>
    <s v="Death Dealer"/>
    <s v="Beat Thanatos by 15 kills or more"/>
    <n v="0.42700000000000005"/>
    <s v="data:,"/>
    <x v="2"/>
    <x v="2"/>
    <m/>
  </r>
  <r>
    <n v="431"/>
    <s v="Hades"/>
    <s v="Skelly Slayer"/>
    <s v="Slay Skelly 15 times"/>
    <n v="0.40399999999999997"/>
    <s v="data:,"/>
    <x v="2"/>
    <x v="2"/>
    <m/>
  </r>
  <r>
    <n v="432"/>
    <s v="Hades"/>
    <s v="Well Stocked"/>
    <s v="Buy 9 'Well of Charon' items in one escape attempt"/>
    <n v="0.39700000000000002"/>
    <s v="data:,"/>
    <x v="2"/>
    <x v="2"/>
    <m/>
  </r>
  <r>
    <n v="433"/>
    <s v="Hades"/>
    <s v="Three-Headed Boy"/>
    <s v="Pet Cerberus 10 times"/>
    <n v="0.35299999999999998"/>
    <s v="data:,"/>
    <x v="2"/>
    <x v="2"/>
    <m/>
  </r>
  <r>
    <n v="434"/>
    <s v="Hades"/>
    <s v="Day-or-Night Trader"/>
    <s v="Trade 20 times with the Wretched Broker"/>
    <n v="0.34899999999999998"/>
    <s v="data:,"/>
    <x v="2"/>
    <x v="2"/>
    <m/>
  </r>
  <r>
    <n v="435"/>
    <s v="Hades"/>
    <s v="Back to Work"/>
    <s v="Earn access to and enter the Administrative Chamber"/>
    <n v="0.34499999999999997"/>
    <s v="data:,"/>
    <x v="2"/>
    <x v="2"/>
    <m/>
  </r>
  <r>
    <n v="436"/>
    <s v="Hades"/>
    <s v="Blessed by the Gods"/>
    <s v="Choose 100 different Olympian Boon effects"/>
    <n v="0.33100000000000002"/>
    <s v="data:,"/>
    <x v="2"/>
    <x v="2"/>
    <m/>
  </r>
  <r>
    <n v="437"/>
    <s v="Hades"/>
    <s v="Blood Bound"/>
    <s v="Max any Weapon Aspect"/>
    <n v="0.318"/>
    <s v="data:,"/>
    <x v="2"/>
    <x v="2"/>
    <m/>
  </r>
  <r>
    <n v="438"/>
    <s v="Hades"/>
    <s v="Urge to Sing"/>
    <s v="Compel Orpheus to sing again"/>
    <n v="0.316"/>
    <s v="data:,"/>
    <x v="2"/>
    <x v="2"/>
    <m/>
  </r>
  <r>
    <n v="439"/>
    <s v="Hades"/>
    <s v="Grown Close"/>
    <s v="Forge a bond with any character"/>
    <n v="0.26300000000000001"/>
    <s v="data:,"/>
    <x v="2"/>
    <x v="2"/>
    <m/>
  </r>
  <r>
    <n v="440"/>
    <s v="Hades"/>
    <s v="River Denizens"/>
    <s v="Catch a fish from each region"/>
    <n v="0.252"/>
    <s v="data:,"/>
    <x v="2"/>
    <x v="2"/>
    <m/>
  </r>
  <r>
    <n v="441"/>
    <s v="Hades"/>
    <s v="Home Makeover"/>
    <s v="Pay for 50 jobs from the House Contractor"/>
    <n v="0.23800000000000002"/>
    <s v="data:,"/>
    <x v="2"/>
    <x v="2"/>
    <m/>
  </r>
  <r>
    <n v="442"/>
    <s v="Hades"/>
    <s v="The Family Secret"/>
    <s v="Complete the main quest in the story"/>
    <n v="0.23399999999999999"/>
    <s v="data:,"/>
    <x v="2"/>
    <x v="2"/>
    <m/>
  </r>
  <r>
    <n v="443"/>
    <s v="Hades"/>
    <s v="Had to Happen"/>
    <s v="Fulfill any 15 Prophecies"/>
    <n v="0.222"/>
    <s v="data:,"/>
    <x v="2"/>
    <x v="2"/>
    <m/>
  </r>
  <r>
    <n v="444"/>
    <s v="Hades"/>
    <s v="To Charon's Credit"/>
    <s v="Earn a Loyalty Card"/>
    <n v="0.222"/>
    <s v="data:,"/>
    <x v="2"/>
    <x v="2"/>
    <m/>
  </r>
  <r>
    <n v="445"/>
    <s v="Hades"/>
    <s v="Tools of the Architect"/>
    <s v="Choose 50 different Daedalus Hammer enchantments"/>
    <n v="0.20300000000000001"/>
    <s v="data:,"/>
    <x v="2"/>
    <x v="2"/>
    <m/>
  </r>
  <r>
    <n v="446"/>
    <s v="Hades"/>
    <s v="Rare Collectible"/>
    <s v="Equip a Chthonic Companion"/>
    <n v="0.2"/>
    <s v="data:,"/>
    <x v="2"/>
    <x v="2"/>
    <m/>
  </r>
  <r>
    <n v="447"/>
    <s v="Hades"/>
    <s v="Master of Arms"/>
    <s v="Fulfill the 'Master of Arms' Prophecy"/>
    <n v="0.19600000000000001"/>
    <s v="data:,"/>
    <x v="2"/>
    <x v="2"/>
    <m/>
  </r>
  <r>
    <n v="448"/>
    <s v="Hades"/>
    <s v="Weapon of Fate"/>
    <s v="Clear an escape attempt with a hidden Weapon Aspect"/>
    <n v="0.19"/>
    <s v="data:,"/>
    <x v="2"/>
    <x v="2"/>
    <m/>
  </r>
  <r>
    <n v="449"/>
    <s v="Hades"/>
    <s v="Something From Everyone"/>
    <s v="Unlock each standard Keepsake"/>
    <n v="0.17499999999999999"/>
    <s v="data:,"/>
    <x v="2"/>
    <x v="2"/>
    <m/>
  </r>
  <r>
    <n v="450"/>
    <s v="Hades"/>
    <s v="Hold the Onions"/>
    <s v="Clear an Infernal Gate without taking damage"/>
    <n v="0.17199999999999999"/>
    <s v="data:,"/>
    <x v="2"/>
    <x v="2"/>
    <m/>
  </r>
  <r>
    <n v="451"/>
    <s v="Hades"/>
    <s v="Well Versed"/>
    <s v="Fully Unlock the Olympians' Codex entries"/>
    <n v="0.157"/>
    <s v="data:,"/>
    <x v="2"/>
    <x v="2"/>
    <m/>
  </r>
  <r>
    <n v="452"/>
    <s v="Hades"/>
    <s v="War-God's Bloodlust"/>
    <s v="Fulfill the 'War-God's Bloodlust' Prophecy"/>
    <n v="0.14599999999999999"/>
    <s v="data:,"/>
    <x v="2"/>
    <x v="2"/>
    <m/>
  </r>
  <r>
    <n v="453"/>
    <s v="Hades"/>
    <s v="Champion of Elysium"/>
    <s v="Clear Elysium with the 'Extreme Measures' Condition"/>
    <n v="0.13400000000000001"/>
    <s v="data:,"/>
    <x v="2"/>
    <x v="2"/>
    <m/>
  </r>
  <r>
    <n v="454"/>
    <s v="Hades"/>
    <s v="Musician and Muse"/>
    <s v="Fulfill the 'Musician and Muse' Prophecy"/>
    <n v="0.13300000000000001"/>
    <s v="data:,"/>
    <x v="2"/>
    <x v="2"/>
    <m/>
  </r>
  <r>
    <n v="455"/>
    <s v="Hades"/>
    <s v="Haste of Hermes"/>
    <s v="Get 20% dodge chance with the Lambent Plume"/>
    <n v="0.129"/>
    <s v="data:,"/>
    <x v="2"/>
    <x v="2"/>
    <m/>
  </r>
  <r>
    <n v="456"/>
    <s v="Hades"/>
    <s v="Bad Call"/>
    <s v="Use an Olympian's Greater Call against them in a Trial"/>
    <n v="0.127"/>
    <s v="data:,"/>
    <x v="2"/>
    <x v="2"/>
    <m/>
  </r>
  <r>
    <n v="457"/>
    <s v="Hades"/>
    <s v="The Useless Trinket"/>
    <s v="Earn the first of Skelly's prizes"/>
    <n v="0.124"/>
    <s v="data:,"/>
    <x v="2"/>
    <x v="2"/>
    <m/>
  </r>
  <r>
    <n v="458"/>
    <s v="Hades"/>
    <s v="Thanks, But No Thanks"/>
    <s v="Purge a Legendary Boon"/>
    <n v="0.12"/>
    <s v="data:,"/>
    <x v="2"/>
    <x v="2"/>
    <m/>
  </r>
  <r>
    <n v="459"/>
    <s v="Hades"/>
    <s v="Slashed Benefits"/>
    <s v="Fulfill the 'Slashed Benefits' Prophecy"/>
    <n v="0.11900000000000001"/>
    <s v="data:,"/>
    <x v="2"/>
    <x v="2"/>
    <m/>
  </r>
  <r>
    <n v="460"/>
    <s v="Hades"/>
    <s v="Nyx's Mirror"/>
    <s v="Have at least one rank in each Mirror of Night Talent"/>
    <n v="0.11699999999999999"/>
    <s v="data:,"/>
    <x v="2"/>
    <x v="2"/>
    <m/>
  </r>
  <r>
    <n v="461"/>
    <s v="Hades"/>
    <s v="Night and Darkness"/>
    <s v="Fulfill the 'Night and Darkness' Prophecy"/>
    <n v="0.10400000000000001"/>
    <s v="data:,"/>
    <x v="2"/>
    <x v="2"/>
    <m/>
  </r>
  <r>
    <n v="462"/>
    <s v="Hades"/>
    <s v="End to Torment"/>
    <s v="Fulfill the 'End to Torment' Prophecy"/>
    <n v="9.9000000000000005E-2"/>
    <s v="data:,"/>
    <x v="2"/>
    <x v="2"/>
    <m/>
  </r>
  <r>
    <n v="463"/>
    <s v="Hades"/>
    <s v="Infernal Arms"/>
    <s v="Unlock all Weapon Aspects"/>
    <n v="9.1999999999999998E-2"/>
    <s v="data:,"/>
    <x v="2"/>
    <x v="2"/>
    <m/>
  </r>
  <r>
    <n v="464"/>
    <s v="Hades"/>
    <s v="Dark Reflections"/>
    <s v="Fulfill the 'Dark Reflections' Prophecy"/>
    <n v="8.900000000000001E-2"/>
    <s v="data:,"/>
    <x v="2"/>
    <x v="2"/>
    <m/>
  </r>
  <r>
    <n v="465"/>
    <s v="Hades"/>
    <s v="Divided by Death"/>
    <s v="Fulfill the 'Divided by Death' Prophecy"/>
    <n v="8.4000000000000005E-2"/>
    <s v="data:,"/>
    <x v="2"/>
    <x v="2"/>
    <m/>
  </r>
  <r>
    <n v="466"/>
    <s v="Hades"/>
    <s v="One for the Ages"/>
    <s v="Reach the epilogue of the story"/>
    <n v="8.4000000000000005E-2"/>
    <s v="data:,"/>
    <x v="2"/>
    <x v="2"/>
    <m/>
  </r>
  <r>
    <n v="467"/>
    <s v="Hades"/>
    <s v="Harsh Conditions"/>
    <s v="Fulfill the 'Harsh Conditions' Prophecy"/>
    <n v="7.6999999999999999E-2"/>
    <s v="data:,"/>
    <x v="2"/>
    <x v="2"/>
    <m/>
  </r>
  <r>
    <n v="468"/>
    <s v="Hades"/>
    <s v="Skelly's Last Lamentations"/>
    <s v="Earn the second of Skelly's prizes"/>
    <n v="7.2999999999999995E-2"/>
    <s v="data:,"/>
    <x v="2"/>
    <x v="2"/>
    <m/>
  </r>
  <r>
    <n v="469"/>
    <s v="Hades"/>
    <s v="Thorn of Thanatos"/>
    <s v="Get 30% bonus damage with the Pierced Butterfly"/>
    <n v="7.2999999999999995E-2"/>
    <s v="data:,"/>
    <x v="2"/>
    <x v="2"/>
    <m/>
  </r>
  <r>
    <n v="470"/>
    <s v="Hades"/>
    <s v="Complete Set"/>
    <s v="Earn all Chthonic Companions"/>
    <n v="6.7000000000000004E-2"/>
    <s v="data:,"/>
    <x v="2"/>
    <x v="2"/>
    <m/>
  </r>
  <r>
    <n v="471"/>
    <s v="Hades"/>
    <s v="Friends Forever"/>
    <s v="Max-rank each standard Keepsake"/>
    <n v="5.9000000000000004E-2"/>
    <s v="data:,"/>
    <x v="2"/>
    <x v="2"/>
    <m/>
  </r>
  <r>
    <n v="472"/>
    <s v="Hades II"/>
    <s v="Witch of the Woods"/>
    <s v="Clear Erebus"/>
    <n v="0.67500000000000004"/>
    <s v="https://shared.fastly.steamstatic.com/community_assets/images/apps/1145350/974c728e91ee0068539259f7cc6f4bc5f3373fd8.jpg"/>
    <x v="1"/>
    <x v="1"/>
    <m/>
  </r>
  <r>
    <n v="473"/>
    <s v="Hades II"/>
    <s v="Witch of the Depths"/>
    <s v="Clear Oceanus"/>
    <n v="0.60799999999999998"/>
    <s v="https://shared.fastly.steamstatic.com/community_assets/images/apps/1145350/9bd88f9a13639e00c4b9371fdce7303c5ff241fc.jpg"/>
    <x v="3"/>
    <x v="3"/>
    <m/>
  </r>
  <r>
    <n v="474"/>
    <s v="Hades II"/>
    <s v="Witch of the Plains"/>
    <s v="Clear the Fields of Mourning"/>
    <n v="0.56899999999999995"/>
    <s v="data:,"/>
    <x v="4"/>
    <x v="4"/>
    <m/>
  </r>
  <r>
    <n v="475"/>
    <s v="Hades II"/>
    <s v="Witch of the Outskirts"/>
    <s v="Clear the City of Ephyra"/>
    <n v="0.50800000000000001"/>
    <s v="data:,"/>
    <x v="2"/>
    <x v="2"/>
    <m/>
  </r>
  <r>
    <n v="476"/>
    <s v="Hades II"/>
    <s v="Witch of the Waters"/>
    <s v="Clear the Rift of Thessaly"/>
    <n v="0.47200000000000003"/>
    <s v="data:,"/>
    <x v="2"/>
    <x v="2"/>
    <m/>
  </r>
  <r>
    <n v="477"/>
    <s v="Hades II"/>
    <s v="Soothing Soak"/>
    <s v="Take one of your comrades to the Hot Springs"/>
    <n v="0.47"/>
    <s v="data:,"/>
    <x v="2"/>
    <x v="2"/>
    <m/>
  </r>
  <r>
    <n v="478"/>
    <s v="Hades II"/>
    <s v="Witch of the Abyss"/>
    <s v="Clear Tartarus"/>
    <n v="0.45899999999999996"/>
    <s v="data:,"/>
    <x v="5"/>
    <x v="5"/>
    <m/>
  </r>
  <r>
    <n v="479"/>
    <s v="Hades II"/>
    <s v="The Arms of Night"/>
    <s v="Fulfill the Prophecy 'The Arms of Night'"/>
    <n v="0.45600000000000002"/>
    <s v="data:,"/>
    <x v="2"/>
    <x v="2"/>
    <m/>
  </r>
  <r>
    <n v="480"/>
    <s v="Hades II"/>
    <s v="Witch of the Mountains"/>
    <s v="Clear Mount Olympus"/>
    <n v="0.42399999999999999"/>
    <s v="data:,"/>
    <x v="2"/>
    <x v="2"/>
    <m/>
  </r>
  <r>
    <n v="481"/>
    <s v="Hades II"/>
    <s v="Sheep's Clothing"/>
    <s v="Slay a Sister of the Dead while afflicted with Twilight Curse"/>
    <n v="0.41799999999999998"/>
    <s v="data:,"/>
    <x v="2"/>
    <x v="2"/>
    <m/>
  </r>
  <r>
    <n v="482"/>
    <s v="Hades II"/>
    <s v="So Mote It Be"/>
    <s v="Cast 50 Incantations at the Crossroads Cauldron"/>
    <n v="0.41700000000000004"/>
    <s v="data:,"/>
    <x v="2"/>
    <x v="2"/>
    <m/>
  </r>
  <r>
    <n v="483"/>
    <s v="Hades II"/>
    <s v="Breadth of Knowledge"/>
    <s v="Fulfill the Prophecy 'Breadth of Knowledge'"/>
    <n v="0.38200000000000001"/>
    <s v="data:,"/>
    <x v="2"/>
    <x v="2"/>
    <m/>
  </r>
  <r>
    <n v="484"/>
    <s v="Hades II"/>
    <s v="Familiar Confidant"/>
    <s v="Fulfill the Prophecy 'Familiar Confidant'"/>
    <n v="0.36700000000000005"/>
    <s v="data:,"/>
    <x v="2"/>
    <x v="2"/>
    <m/>
  </r>
  <r>
    <n v="485"/>
    <s v="Hades II"/>
    <s v="Catch of the Night"/>
    <s v="Take one of your comrades to the Fishing Pier"/>
    <n v="0.36200000000000004"/>
    <s v="data:,"/>
    <x v="2"/>
    <x v="2"/>
    <m/>
  </r>
  <r>
    <n v="486"/>
    <s v="Hades II"/>
    <s v="Witch of the Clouds"/>
    <s v="Clear the Summit"/>
    <n v="0.36200000000000004"/>
    <s v="data:,"/>
    <x v="2"/>
    <x v="2"/>
    <m/>
  </r>
  <r>
    <n v="487"/>
    <s v="Hades II"/>
    <s v="Ambrosia for Two"/>
    <s v="Take one of your comrades to the Taverna"/>
    <n v="0.33399999999999996"/>
    <s v="data:,"/>
    <x v="2"/>
    <x v="2"/>
    <m/>
  </r>
  <r>
    <n v="488"/>
    <s v="Hades II"/>
    <s v="Mind for Magick"/>
    <s v="Gain 30 Grasp at the Altar of Ashes"/>
    <n v="0.33299999999999996"/>
    <s v="data:,"/>
    <x v="2"/>
    <x v="2"/>
    <m/>
  </r>
  <r>
    <n v="489"/>
    <s v="Hades II"/>
    <s v="Natural Talent"/>
    <s v="Fulfill the Prophecy 'Natural Talent'"/>
    <n v="0.30499999999999999"/>
    <s v="data:,"/>
    <x v="2"/>
    <x v="2"/>
    <m/>
  </r>
  <r>
    <n v="490"/>
    <s v="Hades II"/>
    <s v="Death to Chronos"/>
    <s v="Complete the lifelong task of the Princess of the Underworld"/>
    <n v="0.26800000000000002"/>
    <s v="data:,"/>
    <x v="2"/>
    <x v="2"/>
    <m/>
  </r>
  <r>
    <n v="491"/>
    <s v="Hades II"/>
    <s v="Animal Whisperer"/>
    <s v="Recruit all Animal Familiars"/>
    <n v="0.25"/>
    <s v="data:,"/>
    <x v="2"/>
    <x v="2"/>
    <m/>
  </r>
  <r>
    <n v="492"/>
    <s v="Hades II"/>
    <s v="Behold Night's Champion"/>
    <s v="Earn the first Gift of the Veil"/>
    <n v="0.24299999999999999"/>
    <s v="data:,"/>
    <x v="2"/>
    <x v="2"/>
    <m/>
  </r>
  <r>
    <n v="493"/>
    <s v="Hades II"/>
    <s v="Breaking Up the Band"/>
    <s v="Use Night Bloom to raise a Siren"/>
    <n v="0.23800000000000002"/>
    <s v="data:,"/>
    <x v="2"/>
    <x v="2"/>
    <m/>
  </r>
  <r>
    <n v="494"/>
    <s v="Hades II"/>
    <s v="Giving Back"/>
    <s v="Earn 10,000 Kudos"/>
    <n v="0.187"/>
    <s v="data:,"/>
    <x v="2"/>
    <x v="2"/>
    <m/>
  </r>
  <r>
    <n v="495"/>
    <s v="Hades II"/>
    <s v="Mercy, Night's Executioner"/>
    <s v="Earn the second Gift of the Veil"/>
    <n v="0.16600000000000001"/>
    <s v="data:,"/>
    <x v="2"/>
    <x v="2"/>
    <m/>
  </r>
  <r>
    <n v="496"/>
    <s v="Hades II"/>
    <s v="Elysian Glory"/>
    <s v="Prevail in the Contest of Champions"/>
    <n v="0.16500000000000001"/>
    <s v="data:,"/>
    <x v="2"/>
    <x v="2"/>
    <m/>
  </r>
  <r>
    <n v="497"/>
    <s v="Hades II"/>
    <s v="Haunted by the Past"/>
    <s v="Fulfill the Prophecy 'Haunted by the Past'"/>
    <n v="0.16200000000000001"/>
    <s v="data:,"/>
    <x v="2"/>
    <x v="2"/>
    <m/>
  </r>
  <r>
    <n v="498"/>
    <s v="Hades II"/>
    <s v="Soundest of Sleepers"/>
    <s v="Fulfill the Prophecy 'Soundest of Sleepers'"/>
    <n v="0.159"/>
    <s v="data:,"/>
    <x v="2"/>
    <x v="2"/>
    <m/>
  </r>
  <r>
    <n v="499"/>
    <s v="Hades II"/>
    <s v="Arcana of the Ages"/>
    <s v="Fulfill the Prophecy 'Arcana of the Ages'"/>
    <n v="0.157"/>
    <s v="data:,"/>
    <x v="2"/>
    <x v="2"/>
    <m/>
  </r>
  <r>
    <n v="500"/>
    <s v="Hades II"/>
    <s v="Denizens of the Depths"/>
    <s v="Fulfill the Prophecy 'Denizens of the Depths'"/>
    <n v="0.15"/>
    <s v="data:,"/>
    <x v="2"/>
    <x v="2"/>
    <m/>
  </r>
  <r>
    <n v="501"/>
    <s v="Hades II"/>
    <s v="Fair Fight"/>
    <s v="Earn 1,000 Gold competing against Nemesis"/>
    <n v="0.14400000000000002"/>
    <s v="data:,"/>
    <x v="2"/>
    <x v="2"/>
    <m/>
  </r>
  <r>
    <n v="502"/>
    <s v="Hades II"/>
    <s v="Sword of the Night"/>
    <s v="Fulfill the Prophecy 'Sword of the Night'"/>
    <n v="0.13200000000000001"/>
    <s v="data:,"/>
    <x v="2"/>
    <x v="2"/>
    <m/>
  </r>
  <r>
    <n v="503"/>
    <s v="Hades II"/>
    <s v="Hand of the Fates"/>
    <s v="Fulfill 60 Minor Prophecies"/>
    <n v="0.12300000000000001"/>
    <s v="data:,"/>
    <x v="2"/>
    <x v="2"/>
    <m/>
  </r>
  <r>
    <n v="504"/>
    <s v="Hades II"/>
    <s v="Close Comrades"/>
    <s v="Forge a bond with 10 comrades"/>
    <n v="0.121"/>
    <s v="data:,"/>
    <x v="2"/>
    <x v="2"/>
    <m/>
  </r>
  <r>
    <n v="505"/>
    <s v="Hades II"/>
    <s v="Born to Win"/>
    <s v="Fulfill the Prophecy 'Born to Win'"/>
    <n v="0.11900000000000001"/>
    <s v="data:,"/>
    <x v="2"/>
    <x v="2"/>
    <m/>
  </r>
  <r>
    <n v="506"/>
    <s v="Hades II"/>
    <s v="Dressed to Kill"/>
    <s v="Reach the final confrontation in an Arachne outfit"/>
    <n v="0.11800000000000001"/>
    <s v="data:,"/>
    <x v="2"/>
    <x v="2"/>
    <m/>
  </r>
  <r>
    <n v="507"/>
    <s v="Hades II"/>
    <s v="Unassailable Insight"/>
    <s v="Fully upgrade all Arcana"/>
    <n v="0.11800000000000001"/>
    <s v="data:,"/>
    <x v="2"/>
    <x v="2"/>
    <m/>
  </r>
  <r>
    <n v="508"/>
    <s v="Hades II"/>
    <s v="Voice and Vanity"/>
    <s v="Fulfill the Prophecy 'Voice and Vanity'"/>
    <n v="0.115"/>
    <s v="data:,"/>
    <x v="2"/>
    <x v="2"/>
    <m/>
  </r>
  <r>
    <n v="509"/>
    <s v="Hades II"/>
    <s v="Sentimental Value"/>
    <s v="Collect every Keepsake"/>
    <n v="0.111"/>
    <s v="data:,"/>
    <x v="2"/>
    <x v="2"/>
    <m/>
  </r>
  <r>
    <n v="510"/>
    <s v="Hades II"/>
    <s v="The Unseen Sentinel"/>
    <s v="Fulfill the Prophecy 'The Unseen Sentinel'"/>
    <n v="0.1"/>
    <s v="data:,"/>
    <x v="2"/>
    <x v="2"/>
    <m/>
  </r>
  <r>
    <n v="511"/>
    <s v="Hades II"/>
    <s v="Unrivaled Prowess"/>
    <s v="Fulfill the Prophecy 'Unrivaled Prowess'"/>
    <n v="9.8000000000000004E-2"/>
    <s v="data:,"/>
    <x v="2"/>
    <x v="2"/>
    <m/>
  </r>
  <r>
    <n v="512"/>
    <s v="Hades II"/>
    <s v="Infinite Possibility"/>
    <s v="Clear 20 Chaos Trials"/>
    <n v="9.6999999999999989E-2"/>
    <s v="data:,"/>
    <x v="2"/>
    <x v="2"/>
    <m/>
  </r>
  <r>
    <n v="513"/>
    <s v="Hades II"/>
    <s v="Golden Age"/>
    <s v="Reach the epilogue of the story"/>
    <n v="9.1999999999999998E-2"/>
    <s v="data:,"/>
    <x v="2"/>
    <x v="2"/>
    <m/>
  </r>
  <r>
    <n v="514"/>
    <s v="Hades II"/>
    <s v="Beast Master"/>
    <s v="Fully upgrade all Animal Familiars"/>
    <n v="8.6999999999999994E-2"/>
    <s v="data:,"/>
    <x v="2"/>
    <x v="2"/>
    <m/>
  </r>
  <r>
    <n v="515"/>
    <s v="Hades II"/>
    <s v="Unfinished Business"/>
    <s v="Fulfill the Prophecy 'Unfinished Business'"/>
    <n v="7.6999999999999999E-2"/>
    <s v="data:,"/>
    <x v="2"/>
    <x v="2"/>
    <m/>
  </r>
  <r>
    <n v="516"/>
    <s v="Hades II"/>
    <s v="Silk and Spitefulness"/>
    <s v="Fulfill the Prophecy 'Silk and Spitefulness'"/>
    <n v="6.9000000000000006E-2"/>
    <s v="data:,"/>
    <x v="2"/>
    <x v="2"/>
    <m/>
  </r>
  <r>
    <n v="517"/>
    <s v="Hades II"/>
    <s v="Unfamiliar Forms"/>
    <s v="Alter the appearance of each Animal Familiar"/>
    <n v="6.8000000000000005E-2"/>
    <s v="data:,"/>
    <x v="2"/>
    <x v="2"/>
    <m/>
  </r>
  <r>
    <n v="518"/>
    <s v="Hades II"/>
    <s v="Bearing Dark Gifts"/>
    <s v="Fulfill the Prophecy 'Bearing Dark Gifts'"/>
    <n v="5.7999999999999996E-2"/>
    <s v="data:,"/>
    <x v="2"/>
    <x v="2"/>
    <m/>
  </r>
  <r>
    <n v="519"/>
    <s v="Hades II"/>
    <s v="Improbable Outcomes"/>
    <s v="Fulfill the Prophecy 'Improbable Outcomes'"/>
    <n v="5.2999999999999999E-2"/>
    <s v="data:,"/>
    <x v="2"/>
    <x v="2"/>
    <m/>
  </r>
  <r>
    <n v="520"/>
    <s v="Hades II"/>
    <s v="Chaos in Hell"/>
    <s v="Clear the 'Great Chaos Below' Trial"/>
    <n v="4.7E-2"/>
    <s v="data:,"/>
    <x v="2"/>
    <x v="2"/>
    <m/>
  </r>
  <r>
    <n v="521"/>
    <s v="Hades II"/>
    <s v="Goddess of Nightmares"/>
    <s v="Earn all other Achievements"/>
    <n v="0.04"/>
    <s v="data:,"/>
    <x v="2"/>
    <x v="2"/>
    <m/>
  </r>
  <r>
    <n v="0"/>
    <s v="Clair Obscur: Expedition 33"/>
    <s v="Lumière"/>
    <s v="Embark on the Expedition."/>
    <n v="0.88099999999999989"/>
    <s v="https://shared.fastly.steamstatic.com/community_assets/images/apps/1903340/6c78c7b969521de396e116d62341c83049fbfb1e.jpg"/>
    <x v="0"/>
    <x v="0"/>
    <m/>
  </r>
  <r>
    <n v="1"/>
    <s v="Clair Obscur: Expedition 33"/>
    <s v="Time to Spill Some Ink"/>
    <s v="Break an enemy."/>
    <n v="0.84499999999999997"/>
    <s v="https://shared.fastly.steamstatic.com/community_assets/images/apps/1903340/c079b7038296aa203229ee0864695bf2f549ddc5.jpg"/>
    <x v="2"/>
    <x v="2"/>
    <m/>
  </r>
  <r>
    <n v="2"/>
    <s v="Clair Obscur: Expedition 33"/>
    <s v="Overcharge"/>
    <s v="With Gustave, use a fully charged Overcharge that Breaks an enemy."/>
    <n v="0.81299999999999994"/>
    <s v="data:,"/>
    <x v="2"/>
    <x v="2"/>
    <m/>
  </r>
  <r>
    <n v="3"/>
    <s v="Clair Obscur: Expedition 33"/>
    <s v="Spring Meadows"/>
    <s v="Find your way through Spring Meadows."/>
    <n v="0.81299999999999994"/>
    <s v="data:,"/>
    <x v="1"/>
    <x v="1"/>
    <m/>
  </r>
  <r>
    <n v="4"/>
    <s v="Clair Obscur: Expedition 33"/>
    <s v="Paint Cage"/>
    <s v="Break a Paint Cage."/>
    <n v="0.76400000000000001"/>
    <s v="data:,"/>
    <x v="2"/>
    <x v="2"/>
    <m/>
  </r>
  <r>
    <n v="5"/>
    <s v="Clair Obscur: Expedition 33"/>
    <s v="Flying Waters"/>
    <s v="Find your way through Flying Waters."/>
    <n v="0.74199999999999999"/>
    <s v="data:,"/>
    <x v="2"/>
    <x v="2"/>
    <m/>
  </r>
  <r>
    <n v="6"/>
    <s v="Clair Obscur: Expedition 33"/>
    <s v="Weapon Upgrade"/>
    <s v="Upgrade a weapon once."/>
    <n v="0.72299999999999998"/>
    <s v="data:,"/>
    <x v="2"/>
    <x v="2"/>
    <m/>
  </r>
  <r>
    <n v="7"/>
    <s v="Clair Obscur: Expedition 33"/>
    <s v="Lumina"/>
    <s v="Consume a Lumina point."/>
    <n v="0.71700000000000008"/>
    <s v="data:,"/>
    <x v="2"/>
    <x v="2"/>
    <m/>
  </r>
  <r>
    <n v="8"/>
    <s v="Clair Obscur: Expedition 33"/>
    <s v="Curious"/>
    <s v="Witness an optional scene at camp."/>
    <n v="0.71099999999999997"/>
    <s v="data:,"/>
    <x v="2"/>
    <x v="2"/>
    <m/>
  </r>
  <r>
    <n v="9"/>
    <s v="Clair Obscur: Expedition 33"/>
    <s v="Ancient Sanctuary"/>
    <s v="Find your way through Ancient Sanctuary."/>
    <n v="0.70799999999999996"/>
    <s v="data:,"/>
    <x v="2"/>
    <x v="2"/>
    <m/>
  </r>
  <r>
    <n v="10"/>
    <s v="Clair Obscur: Expedition 33"/>
    <s v="Gestral Village"/>
    <s v="Find your way through the Gestral Village."/>
    <n v="0.68599999999999994"/>
    <s v="data:,"/>
    <x v="2"/>
    <x v="2"/>
    <m/>
  </r>
  <r>
    <n v="11"/>
    <s v="Clair Obscur: Expedition 33"/>
    <s v="Esquie's Nest"/>
    <s v="Find your way through Esquie's Nest."/>
    <n v="0.67200000000000004"/>
    <s v="data:,"/>
    <x v="2"/>
    <x v="2"/>
    <m/>
  </r>
  <r>
    <n v="12"/>
    <s v="Clair Obscur: Expedition 33"/>
    <s v="Legend"/>
    <s v="Unlock Esquie."/>
    <n v="0.67200000000000004"/>
    <s v="data:,"/>
    <x v="2"/>
    <x v="2"/>
    <m/>
  </r>
  <r>
    <n v="13"/>
    <s v="Clair Obscur: Expedition 33"/>
    <s v="Stone Wave Cliffs"/>
    <s v="Find your way through Stone Wave Cliffs."/>
    <n v="0.626"/>
    <s v="data:,"/>
    <x v="3"/>
    <x v="3"/>
    <m/>
  </r>
  <r>
    <n v="14"/>
    <s v="Clair Obscur: Expedition 33"/>
    <s v="Forgotten Battlefield"/>
    <s v="Find your way through Forgotten Battlefield."/>
    <n v="0.58899999999999997"/>
    <s v="data:,"/>
    <x v="2"/>
    <x v="2"/>
    <m/>
  </r>
  <r>
    <n v="15"/>
    <s v="Clair Obscur: Expedition 33"/>
    <s v="Expedition 33"/>
    <s v="Unlock all playable characters."/>
    <n v="0.57799999999999996"/>
    <s v="data:,"/>
    <x v="2"/>
    <x v="2"/>
    <m/>
  </r>
  <r>
    <n v="16"/>
    <s v="Clair Obscur: Expedition 33"/>
    <s v="Monoco's Station"/>
    <s v="Find your way through Monoco's Station."/>
    <n v="0.57799999999999996"/>
    <s v="data:,"/>
    <x v="2"/>
    <x v="2"/>
    <m/>
  </r>
  <r>
    <n v="17"/>
    <s v="Clair Obscur: Expedition 33"/>
    <s v="Perfection"/>
    <s v="With Verso, reach Rank S."/>
    <n v="0.56700000000000006"/>
    <s v="data:,"/>
    <x v="2"/>
    <x v="2"/>
    <m/>
  </r>
  <r>
    <n v="18"/>
    <s v="Clair Obscur: Expedition 33"/>
    <s v="Old Lumière"/>
    <s v="Find your way through Old Lumière."/>
    <n v="0.55500000000000005"/>
    <s v="data:,"/>
    <x v="2"/>
    <x v="2"/>
    <m/>
  </r>
  <r>
    <n v="19"/>
    <s v="Clair Obscur: Expedition 33"/>
    <s v="Expeditioner"/>
    <s v="Reach level 33."/>
    <n v="0.54799999999999993"/>
    <s v="data:,"/>
    <x v="2"/>
    <x v="2"/>
    <m/>
  </r>
  <r>
    <n v="20"/>
    <s v="Clair Obscur: Expedition 33"/>
    <s v="First Axon"/>
    <s v="Defeat the first Axon."/>
    <n v="0.52900000000000003"/>
    <s v="data:,"/>
    <x v="2"/>
    <x v="2"/>
    <m/>
  </r>
  <r>
    <n v="21"/>
    <s v="Clair Obscur: Expedition 33"/>
    <s v="Professional"/>
    <s v="Defeat a boss without taking any damage."/>
    <n v="0.51400000000000001"/>
    <s v="data:,"/>
    <x v="2"/>
    <x v="2"/>
    <m/>
  </r>
  <r>
    <n v="22"/>
    <s v="Clair Obscur: Expedition 33"/>
    <s v="Second Axon"/>
    <s v="Defeat the second Axon."/>
    <n v="0.51400000000000001"/>
    <s v="data:,"/>
    <x v="2"/>
    <x v="2"/>
    <m/>
  </r>
  <r>
    <n v="23"/>
    <s v="Clair Obscur: Expedition 33"/>
    <s v="Monolith"/>
    <s v="Reach the Monolith."/>
    <n v="0.50800000000000001"/>
    <s v="data:,"/>
    <x v="2"/>
    <x v="2"/>
    <m/>
  </r>
  <r>
    <n v="24"/>
    <s v="Clair Obscur: Expedition 33"/>
    <s v="Perfect Flow"/>
    <s v="With Lune, consume Stains 4 turns in a row."/>
    <n v="0.50700000000000001"/>
    <s v="data:,"/>
    <x v="2"/>
    <x v="2"/>
    <m/>
  </r>
  <r>
    <n v="25"/>
    <s v="Clair Obscur: Expedition 33"/>
    <s v="Paintress"/>
    <s v="Defeat the Paintress."/>
    <n v="0.48200000000000004"/>
    <s v="data:,"/>
    <x v="4"/>
    <x v="4"/>
    <m/>
  </r>
  <r>
    <n v="26"/>
    <s v="Clair Obscur: Expedition 33"/>
    <s v="Back to Lumière"/>
    <s v="Return to Lumière."/>
    <n v="0.47799999999999998"/>
    <s v="data:,"/>
    <x v="2"/>
    <x v="2"/>
    <m/>
  </r>
  <r>
    <n v="27"/>
    <s v="Clair Obscur: Expedition 33"/>
    <s v="A Peculiar Encounter"/>
    <s v="Defeat the Mime in Lumière."/>
    <n v="0.45100000000000001"/>
    <s v="data:,"/>
    <x v="2"/>
    <x v="2"/>
    <m/>
  </r>
  <r>
    <n v="28"/>
    <s v="Clair Obscur: Expedition 33"/>
    <s v="Synergy"/>
    <s v="With Maelle, use Percée on a Marked enemy while in Virtuose Stance."/>
    <n v="0.442"/>
    <s v="data:,"/>
    <x v="2"/>
    <x v="2"/>
    <m/>
  </r>
  <r>
    <n v="29"/>
    <s v="Clair Obscur: Expedition 33"/>
    <s v="The End"/>
    <s v="Reach the end."/>
    <n v="0.39700000000000002"/>
    <s v="data:,"/>
    <x v="5"/>
    <x v="5"/>
    <m/>
  </r>
  <r>
    <n v="30"/>
    <s v="Clair Obscur: Expedition 33"/>
    <s v="Maximisation"/>
    <s v="With Sciel, consume 20 Foretell on a single target during Twilight."/>
    <n v="0.35299999999999998"/>
    <s v="data:,"/>
    <x v="2"/>
    <x v="2"/>
    <m/>
  </r>
  <r>
    <n v="31"/>
    <s v="Clair Obscur: Expedition 33"/>
    <s v="Plane, Train, and Submarine"/>
    <s v="Discover all of Esquie’s abilities."/>
    <n v="0.34499999999999997"/>
    <s v="data:,"/>
    <x v="2"/>
    <x v="2"/>
    <m/>
  </r>
  <r>
    <n v="32"/>
    <s v="Clair Obscur: Expedition 33"/>
    <s v="Trailbreaker"/>
    <s v="Reach level 66."/>
    <n v="0.33500000000000002"/>
    <s v="data:,"/>
    <x v="2"/>
    <x v="2"/>
    <m/>
  </r>
  <r>
    <n v="33"/>
    <s v="Clair Obscur: Expedition 33"/>
    <s v="Sciel"/>
    <s v="Reach relationship level 7 with Sciel."/>
    <n v="0.33"/>
    <s v="data:,"/>
    <x v="2"/>
    <x v="2"/>
    <m/>
  </r>
  <r>
    <n v="34"/>
    <s v="Clair Obscur: Expedition 33"/>
    <s v="Sprong"/>
    <s v="Beat Sprong."/>
    <n v="0.32799999999999996"/>
    <s v="data:,"/>
    <x v="2"/>
    <x v="2"/>
    <m/>
  </r>
  <r>
    <n v="35"/>
    <s v="Clair Obscur: Expedition 33"/>
    <s v="Esquie"/>
    <s v="Reach relationship level 7 with Esquie."/>
    <n v="0.318"/>
    <s v="data:,"/>
    <x v="2"/>
    <x v="2"/>
    <m/>
  </r>
  <r>
    <n v="36"/>
    <s v="Clair Obscur: Expedition 33"/>
    <s v="Lune"/>
    <s v="Reach relationship level 7 with Lune."/>
    <n v="0.314"/>
    <s v="data:,"/>
    <x v="2"/>
    <x v="2"/>
    <m/>
  </r>
  <r>
    <n v="37"/>
    <s v="Clair Obscur: Expedition 33"/>
    <s v="Maelle"/>
    <s v="Reach relationship level 7 with Maelle."/>
    <n v="0.308"/>
    <s v="data:,"/>
    <x v="2"/>
    <x v="2"/>
    <m/>
  </r>
  <r>
    <n v="38"/>
    <s v="Clair Obscur: Expedition 33"/>
    <s v="Monoco"/>
    <s v="Reach relationship level 7 with Monoco."/>
    <n v="0.28999999999999998"/>
    <s v="data:,"/>
    <x v="2"/>
    <x v="2"/>
    <m/>
  </r>
  <r>
    <n v="39"/>
    <s v="Clair Obscur: Expedition 33"/>
    <s v="Chroma Proficiency"/>
    <s v="Use a level 3 Gradient Attack."/>
    <n v="0.28399999999999997"/>
    <s v="data:,"/>
    <x v="2"/>
    <x v="2"/>
    <m/>
  </r>
  <r>
    <n v="40"/>
    <s v="Clair Obscur: Expedition 33"/>
    <s v="Wheel Control"/>
    <s v="With Monoco, cast an Upgraded Skill 4 turns in a row."/>
    <n v="0.28300000000000003"/>
    <s v="data:,"/>
    <x v="2"/>
    <x v="2"/>
    <m/>
  </r>
  <r>
    <n v="41"/>
    <s v="Clair Obscur: Expedition 33"/>
    <s v="Weapon Mastery"/>
    <s v="Fully upgrade a weapon."/>
    <n v="0.25600000000000001"/>
    <s v="data:,"/>
    <x v="2"/>
    <x v="2"/>
    <m/>
  </r>
  <r>
    <n v="42"/>
    <s v="Clair Obscur: Expedition 33"/>
    <s v="À On"/>
    <s v="Beat the Serpenphare."/>
    <n v="0.25600000000000001"/>
    <s v="data:,"/>
    <x v="2"/>
    <x v="2"/>
    <m/>
  </r>
  <r>
    <n v="43"/>
    <s v="Clair Obscur: Expedition 33"/>
    <s v="Carreau Parfait"/>
    <s v="Beat the Chromatic Pétank."/>
    <n v="0.21299999999999999"/>
    <s v="data:,"/>
    <x v="2"/>
    <x v="2"/>
    <m/>
  </r>
  <r>
    <n v="44"/>
    <s v="Clair Obscur: Expedition 33"/>
    <s v="Clea"/>
    <s v="Beat Clea."/>
    <n v="0.20800000000000002"/>
    <s v="data:,"/>
    <x v="2"/>
    <x v="2"/>
    <m/>
  </r>
  <r>
    <n v="45"/>
    <s v="Clair Obscur: Expedition 33"/>
    <s v="Noir et Blanc"/>
    <s v="Solve the Painting Workshop’s mystery."/>
    <n v="0.19500000000000001"/>
    <s v="data:,"/>
    <x v="2"/>
    <x v="2"/>
    <m/>
  </r>
  <r>
    <n v="46"/>
    <s v="Clair Obscur: Expedition 33"/>
    <s v="“Endless”"/>
    <s v="Reach the top of the Endless Tower."/>
    <n v="0.19"/>
    <s v="data:,"/>
    <x v="2"/>
    <x v="2"/>
    <m/>
  </r>
  <r>
    <n v="47"/>
    <s v="Clair Obscur: Expedition 33"/>
    <s v="Peace At Last"/>
    <s v="Beat Simon."/>
    <n v="0.16"/>
    <s v="data:,"/>
    <x v="2"/>
    <x v="2"/>
    <m/>
  </r>
  <r>
    <n v="48"/>
    <s v="Clair Obscur: Expedition 33"/>
    <s v="Lost Gestrals"/>
    <s v="Find all of the Lost Gestrals."/>
    <n v="0.155"/>
    <s v="data:,"/>
    <x v="2"/>
    <x v="2"/>
    <m/>
  </r>
  <r>
    <n v="49"/>
    <s v="Clair Obscur: Expedition 33"/>
    <s v="Gestral Games"/>
    <s v="Win all of the Gestral games."/>
    <n v="0.152"/>
    <s v="data:,"/>
    <x v="2"/>
    <x v="2"/>
    <m/>
  </r>
  <r>
    <n v="50"/>
    <s v="Clair Obscur: Expedition 33"/>
    <s v="Feet Collection"/>
    <s v="Acquire all of Monoco’s skills."/>
    <n v="0.15"/>
    <s v="data:,"/>
    <x v="2"/>
    <x v="2"/>
    <m/>
  </r>
  <r>
    <n v="51"/>
    <s v="Clair Obscur: Expedition 33"/>
    <s v="Aiding the Enemy"/>
    <s v="Finish all of the Nevron quests."/>
    <n v="0.13500000000000001"/>
    <s v="data:,"/>
    <x v="2"/>
    <x v="2"/>
    <m/>
  </r>
  <r>
    <n v="52"/>
    <s v="Clair Obscur: Expedition 33"/>
    <s v="Survivor"/>
    <s v="Reach level 99."/>
    <n v="0.129"/>
    <s v="data:,"/>
    <x v="2"/>
    <x v="2"/>
    <m/>
  </r>
  <r>
    <n v="53"/>
    <s v="Clair Obscur: Expedition 33"/>
    <s v="Follow The Trail"/>
    <s v="Find all of the journals from prior expeditions."/>
    <n v="0.10199999999999999"/>
    <s v="data:,"/>
    <x v="2"/>
    <x v="2"/>
    <m/>
  </r>
  <r>
    <n v="54"/>
    <s v="Clair Obscur: Expedition 33"/>
    <s v="Connoisseur"/>
    <s v="Find all 33 music records."/>
    <n v="0.10099999999999999"/>
    <s v="data:,"/>
    <x v="2"/>
    <x v="2"/>
    <m/>
  </r>
  <r>
    <n v="0"/>
    <s v="Cuphead"/>
    <s v="Taking Names"/>
    <s v="Defeat a boss"/>
    <n v="0.7659999999999999"/>
    <s v="https://shared.fastly.steamstatic.com/community_assets/images/apps/268910/7f66cff96c3f74ce806ed5d311a52a11bbbce43e.jpg"/>
    <x v="1"/>
    <x v="1"/>
    <m/>
  </r>
  <r>
    <n v="1"/>
    <s v="Cuphead"/>
    <s v="Parry Persistance"/>
    <s v="Complete 20 parries"/>
    <n v="0.75099999999999989"/>
    <s v="https://shared.fastly.steamstatic.com/community_assets/images/apps/268910/f768e3f225fe867e1eea454991b8ce290ce5b641.jpg"/>
    <x v="2"/>
    <x v="2"/>
    <m/>
  </r>
  <r>
    <n v="2"/>
    <s v="Cuphead"/>
    <s v="Parry Performance"/>
    <s v="Complete 100 parries"/>
    <n v="0.59"/>
    <s v="data:,"/>
    <x v="2"/>
    <x v="2"/>
    <m/>
  </r>
  <r>
    <n v="3"/>
    <s v="Cuphead"/>
    <s v="Cutting Corners"/>
    <s v="Find a shortcut"/>
    <n v="0.54500000000000004"/>
    <s v="data:,"/>
    <x v="2"/>
    <x v="2"/>
    <m/>
  </r>
  <r>
    <n v="4"/>
    <s v="Cuphead"/>
    <s v="A Walk in the Park"/>
    <s v="Defeat every boss in Inkwell Isle I"/>
    <n v="0.53299999999999992"/>
    <s v="data:,"/>
    <x v="3"/>
    <x v="3"/>
    <m/>
  </r>
  <r>
    <n v="5"/>
    <s v="Cuphead"/>
    <s v="Perfect Run"/>
    <s v="Complete a level without getting hit"/>
    <n v="0.45700000000000002"/>
    <s v="data:,"/>
    <x v="2"/>
    <x v="2"/>
    <m/>
  </r>
  <r>
    <n v="6"/>
    <s v="Cuphead"/>
    <s v="Ceramic Strike"/>
    <s v="Defeat a boss with an Extra Special move"/>
    <n v="0.41"/>
    <s v="data:,"/>
    <x v="2"/>
    <x v="2"/>
    <m/>
  </r>
  <r>
    <n v="7"/>
    <s v="Cuphead"/>
    <s v="A Day at the Fair"/>
    <s v="Defeat every boss in Inkwell Isle II"/>
    <n v="0.313"/>
    <s v="data:,"/>
    <x v="4"/>
    <x v="4"/>
    <m/>
  </r>
  <r>
    <n v="8"/>
    <s v="Cuphead"/>
    <s v="Porcelain Power"/>
    <s v="Defeat a boss with a Super Art"/>
    <n v="0.28199999999999997"/>
    <s v="data:,"/>
    <x v="2"/>
    <x v="2"/>
    <m/>
  </r>
  <r>
    <n v="9"/>
    <s v="Cuphead"/>
    <s v="Magician Lord"/>
    <s v="Obtain all Super Arts"/>
    <n v="0.24099999999999999"/>
    <s v="data:,"/>
    <x v="2"/>
    <x v="2"/>
    <m/>
  </r>
  <r>
    <n v="10"/>
    <s v="Cuphead"/>
    <s v="A Trip Downtown"/>
    <s v="Defeat every boss in Inkwell Isle III"/>
    <n v="0.219"/>
    <s v="data:,"/>
    <x v="2"/>
    <x v="2"/>
    <m/>
  </r>
  <r>
    <n v="11"/>
    <s v="Cuphead"/>
    <s v="Bouncing Ball"/>
    <s v="Parry five times before hitting the ground"/>
    <n v="0.215"/>
    <s v="data:,"/>
    <x v="2"/>
    <x v="2"/>
    <m/>
  </r>
  <r>
    <n v="12"/>
    <s v="Cuphead"/>
    <s v="Casino Night"/>
    <s v="Complete the Casino"/>
    <n v="0.184"/>
    <s v="data:,"/>
    <x v="2"/>
    <x v="2"/>
    <m/>
  </r>
  <r>
    <n v="13"/>
    <s v="Cuphead"/>
    <s v="Souls Saved"/>
    <s v="Complete the game on Normal"/>
    <n v="0.17399999999999999"/>
    <s v="data:,"/>
    <x v="2"/>
    <x v="2"/>
    <m/>
  </r>
  <r>
    <n v="14"/>
    <s v="Cuphead"/>
    <s v="Swing You Sinner"/>
    <s v="Defeat the Devil"/>
    <n v="0.17399999999999999"/>
    <s v="data:,"/>
    <x v="5"/>
    <x v="5"/>
    <m/>
  </r>
  <r>
    <n v="15"/>
    <s v="Cuphead"/>
    <s v="Alive and Kicking"/>
    <s v="Defeat a boss with Ms. Chalice"/>
    <n v="0.13200000000000001"/>
    <s v="data:,"/>
    <x v="6"/>
    <x v="6"/>
    <m/>
  </r>
  <r>
    <n v="16"/>
    <s v="Cuphead"/>
    <s v="Coffers Full"/>
    <s v="Get every coin in all of the levels"/>
    <n v="0.13"/>
    <s v="data:,"/>
    <x v="2"/>
    <x v="2"/>
    <m/>
  </r>
  <r>
    <n v="17"/>
    <s v="Cuphead"/>
    <s v="The Latest Sensation"/>
    <s v="Defeat a boss with one of Porkrind's new weapons"/>
    <n v="0.122"/>
    <s v="data:,"/>
    <x v="2"/>
    <x v="2"/>
    <m/>
  </r>
  <r>
    <n v="18"/>
    <s v="Cuphead"/>
    <s v="Selling Out"/>
    <s v="Give in to the Devil"/>
    <n v="0.112"/>
    <s v="data:,"/>
    <x v="2"/>
    <x v="2"/>
    <m/>
  </r>
  <r>
    <n v="19"/>
    <s v="Cuphead"/>
    <s v="Butter-and-Egg Man"/>
    <s v="Buy everything in Porkrind's Shop"/>
    <n v="0.10100000000000001"/>
    <s v="data:,"/>
    <x v="2"/>
    <x v="2"/>
    <m/>
  </r>
  <r>
    <n v="20"/>
    <s v="Cuphead"/>
    <s v="Sheriff"/>
    <s v="Obtain an A-Rank or higher on all bosses in Inkwell Isle I"/>
    <n v="9.9000000000000005E-2"/>
    <s v="data:,"/>
    <x v="2"/>
    <x v="2"/>
    <m/>
  </r>
  <r>
    <n v="21"/>
    <s v="Cuphead"/>
    <s v="King"/>
    <s v="Obtain an A-Rank or higher on all bosses in Inkwell Hell"/>
    <n v="9.5000000000000001E-2"/>
    <s v="data:,"/>
    <x v="2"/>
    <x v="2"/>
    <m/>
  </r>
  <r>
    <n v="22"/>
    <s v="Cuphead"/>
    <s v="A Vacation in the Wilds"/>
    <s v="Defeat every boss in Inkwell Isle IV"/>
    <n v="0.09"/>
    <s v="data:,"/>
    <x v="7"/>
    <x v="7"/>
    <m/>
  </r>
  <r>
    <n v="23"/>
    <s v="Cuphead"/>
    <s v="Put On a Show"/>
    <s v="Get an S-Rank"/>
    <n v="8.900000000000001E-2"/>
    <s v="data:,"/>
    <x v="2"/>
    <x v="2"/>
    <m/>
  </r>
  <r>
    <n v="24"/>
    <s v="Cuphead"/>
    <s v="Compliments to the Chef"/>
    <s v="Complete your quest on Inkwell Isle IV"/>
    <n v="8.3000000000000004E-2"/>
    <s v="data:,"/>
    <x v="2"/>
    <x v="2"/>
    <m/>
  </r>
  <r>
    <n v="25"/>
    <s v="Cuphead"/>
    <s v="Checkmate"/>
    <s v="Defeat all of the King of Games' Champions"/>
    <n v="8.199999999999999E-2"/>
    <s v="data:,"/>
    <x v="2"/>
    <x v="2"/>
    <m/>
  </r>
  <r>
    <n v="26"/>
    <s v="Cuphead"/>
    <s v="High Roller"/>
    <s v="Get every coin in the game"/>
    <n v="0.08"/>
    <s v="data:,"/>
    <x v="2"/>
    <x v="2"/>
    <m/>
  </r>
  <r>
    <n v="27"/>
    <s v="Cuphead"/>
    <s v="Rolling Sixes"/>
    <s v="Defeat King Dice without taking a hit"/>
    <n v="7.8E-2"/>
    <s v="data:,"/>
    <x v="2"/>
    <x v="2"/>
    <m/>
  </r>
  <r>
    <n v="28"/>
    <s v="Cuphead"/>
    <s v="A Horrible Night To Have a Curse"/>
    <s v="Survive the nightmare"/>
    <n v="7.2000000000000008E-2"/>
    <s v="data:,"/>
    <x v="2"/>
    <x v="2"/>
    <m/>
  </r>
  <r>
    <n v="29"/>
    <s v="Cuphead"/>
    <s v="Boss"/>
    <s v="Obtain an A-Rank or higher on all bosses in Inkwell Isle II"/>
    <n v="6.5000000000000002E-2"/>
    <s v="data:,"/>
    <x v="2"/>
    <x v="2"/>
    <m/>
  </r>
  <r>
    <n v="30"/>
    <s v="Cuphead"/>
    <s v="The Golden Touch"/>
    <s v="Defeat a boss with one of Ms. Chalice's Super Arts"/>
    <n v="6.5000000000000002E-2"/>
    <s v="data:,"/>
    <x v="2"/>
    <x v="2"/>
    <m/>
  </r>
  <r>
    <n v="31"/>
    <s v="Cuphead"/>
    <s v="Decadent"/>
    <s v="Defeat 10 bosses with Ms. Chalice"/>
    <n v="6.4000000000000001E-2"/>
    <s v="data:,"/>
    <x v="2"/>
    <x v="2"/>
    <m/>
  </r>
  <r>
    <n v="32"/>
    <s v="Cuphead"/>
    <s v="Mayor"/>
    <s v="Obtain an A-Rank or higher on all bosses in Inkwell Isle III"/>
    <n v="5.1999999999999998E-2"/>
    <s v="data:,"/>
    <x v="2"/>
    <x v="2"/>
    <m/>
  </r>
  <r>
    <n v="33"/>
    <s v="Cuphead"/>
    <s v="Pacifist"/>
    <s v="Complete all levels without killing an enemy"/>
    <n v="4.7E-2"/>
    <s v="data:,"/>
    <x v="2"/>
    <x v="2"/>
    <m/>
  </r>
  <r>
    <n v="34"/>
    <s v="Cuphead"/>
    <s v="Hearty"/>
    <s v="Have 9HP at one time"/>
    <n v="4.3999999999999997E-2"/>
    <s v="data:,"/>
    <x v="2"/>
    <x v="2"/>
    <m/>
  </r>
  <r>
    <n v="35"/>
    <s v="Cuphead"/>
    <s v="Paladin"/>
    <s v="Obtain great power"/>
    <n v="4.2000000000000003E-2"/>
    <s v="data:,"/>
    <x v="2"/>
    <x v="2"/>
    <m/>
  </r>
  <r>
    <n v="36"/>
    <s v="Cuphead"/>
    <s v="Bravo Zulu P-26"/>
    <s v="Defeat a boss using only the mini-plane bullets"/>
    <n v="3.7999999999999999E-2"/>
    <s v="data:,"/>
    <x v="2"/>
    <x v="2"/>
    <m/>
  </r>
  <r>
    <n v="37"/>
    <s v="Cuphead"/>
    <s v="Beat The Devil At His Own Game"/>
    <s v="Complete the game on Expert"/>
    <n v="3.5999999999999997E-2"/>
    <s v="data:,"/>
    <x v="2"/>
    <x v="2"/>
    <m/>
  </r>
  <r>
    <n v="38"/>
    <s v="Cuphead"/>
    <s v="A King's Admiration"/>
    <s v="Defeat the King's Gauntlet"/>
    <n v="3.3000000000000002E-2"/>
    <s v="data:,"/>
    <x v="2"/>
    <x v="2"/>
    <m/>
  </r>
  <r>
    <n v="39"/>
    <s v="Cuphead"/>
    <s v="Ranger"/>
    <s v="Obtain an A-Rank or Higher on all bosses in Inkwell Isle IV"/>
    <n v="3.3000000000000002E-2"/>
    <s v="data:,"/>
    <x v="2"/>
    <x v="2"/>
    <m/>
  </r>
  <r>
    <n v="40"/>
    <s v="Cuphead"/>
    <s v="The High Hat"/>
    <s v="Defeat a boss on Inkwell Isle IV without killing any of its minions"/>
    <n v="3.2000000000000001E-2"/>
    <s v="data:,"/>
    <x v="2"/>
    <x v="2"/>
    <m/>
  </r>
  <r>
    <n v="41"/>
    <s v="Cuphead"/>
    <s v="Cooked to Perfection"/>
    <s v="Get an S-Rank on a stage of Inkwell Isle IV"/>
    <n v="2.8000000000000001E-2"/>
    <s v="data:,"/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5556E-4C6A-47E3-B282-BE5BF48AC4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2" firstHeaderRow="1" firstDataRow="1" firstDataCol="1"/>
  <pivotFields count="9">
    <pivotField showAll="0"/>
    <pivotField showAll="0"/>
    <pivotField showAll="0"/>
    <pivotField showAll="0"/>
    <pivotField dataField="1" numFmtId="9" showAll="0"/>
    <pivotField showAll="0"/>
    <pivotField axis="axisRow" showAll="0">
      <items count="17">
        <item m="1" x="15"/>
        <item m="1" x="14"/>
        <item m="1" x="13"/>
        <item m="1" x="10"/>
        <item m="1" x="12"/>
        <item m="1" x="9"/>
        <item m="1" x="8"/>
        <item m="1" x="11"/>
        <item x="2"/>
        <item x="0"/>
        <item x="1"/>
        <item x="3"/>
        <item x="4"/>
        <item x="5"/>
        <item x="6"/>
        <item x="7"/>
        <item t="default"/>
      </items>
    </pivotField>
    <pivotField axis="axisRow" showAll="0">
      <items count="9">
        <item h="1" x="2"/>
        <item x="0"/>
        <item x="1"/>
        <item x="3"/>
        <item x="4"/>
        <item x="5"/>
        <item h="1" x="6"/>
        <item h="1" x="7"/>
        <item t="default"/>
      </items>
    </pivotField>
    <pivotField showAll="0"/>
  </pivotFields>
  <rowFields count="2">
    <field x="7"/>
    <field x="6"/>
  </rowFields>
  <rowItems count="11">
    <i>
      <x v="1"/>
    </i>
    <i r="1">
      <x v="9"/>
    </i>
    <i>
      <x v="2"/>
    </i>
    <i r="1">
      <x v="10"/>
    </i>
    <i>
      <x v="3"/>
    </i>
    <i r="1">
      <x v="11"/>
    </i>
    <i>
      <x v="4"/>
    </i>
    <i r="1">
      <x v="12"/>
    </i>
    <i>
      <x v="5"/>
    </i>
    <i r="1">
      <x v="13"/>
    </i>
    <i t="grand">
      <x/>
    </i>
  </rowItems>
  <colItems count="1">
    <i/>
  </colItems>
  <dataFields count="1">
    <dataField name="Average of Percent" fld="4" subtotal="average" baseField="7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59DB1-FF23-4CA9-91E6-692EDA0BDA7D}" name="Table1" displayName="Table1" ref="A1:J750" totalsRowShown="0" headerRowDxfId="4">
  <autoFilter ref="A1:J750" xr:uid="{4F859DB1-FF23-4CA9-91E6-692EDA0BDA7D}"/>
  <sortState xmlns:xlrd2="http://schemas.microsoft.com/office/spreadsheetml/2017/richdata2" ref="A2:J620">
    <sortCondition ref="B1:B620"/>
  </sortState>
  <tableColumns count="10">
    <tableColumn id="1" xr3:uid="{CED78B6B-45C0-4DED-98F4-F5CDBFBF8047}" name="Column1" dataDxfId="3"/>
    <tableColumn id="2" xr3:uid="{9082D1AA-901E-43DF-B488-2B08F929309D}" name="Game"/>
    <tableColumn id="3" xr3:uid="{D6419F84-E15F-40EB-8DBF-C6A1799F4212}" name="Name"/>
    <tableColumn id="4" xr3:uid="{21C2043B-6235-4921-A5CD-CB20A8ED9B9C}" name="Description"/>
    <tableColumn id="5" xr3:uid="{3C2E2351-C787-4FC6-ABE1-6EDFDCD3481B}" name="Percent" dataCellStyle="Percent"/>
    <tableColumn id="6" xr3:uid="{3B90879B-C917-448F-902B-BF1C13F48EC3}" name="Image_Link"/>
    <tableColumn id="7" xr3:uid="{854942A5-6CDC-4B2A-A0E8-D523F485D922}" name="Marker"/>
    <tableColumn id="10" xr3:uid="{9CA9A0F1-F0C2-476A-9B2E-6E9F8CDEECD7}" name="Marker_ID" dataDxfId="2">
      <calculatedColumnFormula>IFERROR(_xlfn.XLOOKUP(Table1[[#This Row],[Marker]],Table2[Marker],Table2[ID]),-1)</calculatedColumnFormula>
    </tableColumn>
    <tableColumn id="8" xr3:uid="{EAC75395-7F2E-4269-846C-F0D0F7802287}" name="Year" dataDxfId="1">
      <calculatedColumnFormula>_xlfn.XLOOKUP(Table1[[#This Row],[Game]],Table14[Game],Table14[release_year])</calculatedColumnFormula>
    </tableColumn>
    <tableColumn id="9" xr3:uid="{CFD742E9-2398-4FA3-A21B-705B056B1C95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ACA679-95B1-4F13-8E1B-ECA817DD0293}" name="Table14" displayName="Table14" ref="A1:F16" totalsRowShown="0">
  <autoFilter ref="A1:F16" xr:uid="{F9ACA679-95B1-4F13-8E1B-ECA817DD0293}"/>
  <tableColumns count="6">
    <tableColumn id="1" xr3:uid="{FBD9D949-73B1-4C90-B6F6-B46C8BAD53DA}" name="ID">
      <calculatedColumnFormula>ROW()-1</calculatedColumnFormula>
    </tableColumn>
    <tableColumn id="2" xr3:uid="{28EB75C3-33D2-4E57-B68F-AE210B54904F}" name="Game"/>
    <tableColumn id="3" xr3:uid="{CFE407BB-33AA-4705-AD25-B9B672CF2C6D}" name="game_id"/>
    <tableColumn id="4" xr3:uid="{E6D5A2DE-AF03-4A0B-9C44-037642A46489}" name="game_link" dataDxfId="0">
      <calculatedColumnFormula>"https://steamdb.info/app/"&amp;Table14[[#This Row],[game_id]]&amp;"/stats/"</calculatedColumnFormula>
    </tableColumn>
    <tableColumn id="5" xr3:uid="{CCFC4D96-02C0-4F0C-8FAD-D0D12E1423D9}" name="release_year"/>
    <tableColumn id="6" xr3:uid="{8D44AAE4-90C4-4ECF-950E-C88E5C3C4973}" name="sales_vg_insigh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1BEE40-04EF-4C94-B473-D6A657380FCE}" name="Table2" displayName="Table2" ref="A1:C8" totalsRowShown="0">
  <autoFilter ref="A1:C8" xr:uid="{BA1BEE40-04EF-4C94-B473-D6A657380FCE}"/>
  <tableColumns count="3">
    <tableColumn id="1" xr3:uid="{2DB6F3ED-8F81-4C90-B5BD-C1D5237848AD}" name="ID"/>
    <tableColumn id="2" xr3:uid="{E28E157E-8E85-49DF-B28F-731D3EF7EFF6}" name="Marker"/>
    <tableColumn id="3" xr3:uid="{E2954980-D9FA-41C2-87CD-A551CFCE8AF3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ed.fastly.steamstatic.com/community_assets/images/apps/814380/2a664af0026dcd3489d7f60122e232f241889cde.jpg" TargetMode="External"/><Relationship Id="rId13" Type="http://schemas.openxmlformats.org/officeDocument/2006/relationships/hyperlink" Target="https://shared.fastly.steamstatic.com/community_assets/images/apps/367520/6d15e62c48ba57d23e72b8f24fb775a44223cb8f.jpg" TargetMode="External"/><Relationship Id="rId18" Type="http://schemas.openxmlformats.org/officeDocument/2006/relationships/hyperlink" Target="https://shared.fastly.steamstatic.com/community_assets/images/apps/1145350/974c728e91ee0068539259f7cc6f4bc5f3373fd8.jpg" TargetMode="External"/><Relationship Id="rId26" Type="http://schemas.openxmlformats.org/officeDocument/2006/relationships/hyperlink" Target="https://shared.fastly.steamstatic.com/community_assets/images/apps/1809540/ca9a9a14d38e544a2edb077827f195baae480558.jpg" TargetMode="External"/><Relationship Id="rId3" Type="http://schemas.openxmlformats.org/officeDocument/2006/relationships/hyperlink" Target="https://shared.fastly.steamstatic.com/community_assets/images/apps/1627720/861a49e43a6b3138b387586c7ce4fb088a5f1402.jpg" TargetMode="External"/><Relationship Id="rId21" Type="http://schemas.openxmlformats.org/officeDocument/2006/relationships/hyperlink" Target="https://shared.fastly.steamstatic.com/community_assets/images/apps/1903340/c079b7038296aa203229ee0864695bf2f549ddc5.jpg" TargetMode="External"/><Relationship Id="rId7" Type="http://schemas.openxmlformats.org/officeDocument/2006/relationships/hyperlink" Target="https://shared.fastly.steamstatic.com/community_assets/images/apps/814380/4f2088f8818ec2eb60119b3cd3a9213509bab46d.jpg" TargetMode="External"/><Relationship Id="rId12" Type="http://schemas.openxmlformats.org/officeDocument/2006/relationships/hyperlink" Target="https://shared.fastly.steamstatic.com/community_assets/images/apps/1030300/a34b4da6c1652ec31603b82de0e983173917b2ad.jpg" TargetMode="External"/><Relationship Id="rId17" Type="http://schemas.openxmlformats.org/officeDocument/2006/relationships/hyperlink" Target="https://shared.fastly.steamstatic.com/community_assets/images/apps/1145360/062a2b7bdc156af9438bdc440a19833addd2ae38.jpg" TargetMode="External"/><Relationship Id="rId25" Type="http://schemas.openxmlformats.org/officeDocument/2006/relationships/hyperlink" Target="https://shared.fastly.steamstatic.com/community_assets/images/apps/2638890/6df5400daef82f23e33ff79dd4774dfa430fb0fd.jpg" TargetMode="External"/><Relationship Id="rId2" Type="http://schemas.openxmlformats.org/officeDocument/2006/relationships/hyperlink" Target="https://shared.fastly.steamstatic.com/community_assets/images/apps/2358720/cf52ec300e1eb11164aba082a69973b746872f67.jpg" TargetMode="External"/><Relationship Id="rId16" Type="http://schemas.openxmlformats.org/officeDocument/2006/relationships/hyperlink" Target="https://shared.fastly.steamstatic.com/community_assets/images/apps/2138710/e3af2ef5cfb59a051ca5af8b8ede2a6fa6213a60.jpg" TargetMode="External"/><Relationship Id="rId20" Type="http://schemas.openxmlformats.org/officeDocument/2006/relationships/hyperlink" Target="https://shared.fastly.steamstatic.com/community_assets/images/apps/1903340/6c78c7b969521de396e116d62341c83049fbfb1e.jpg" TargetMode="External"/><Relationship Id="rId29" Type="http://schemas.openxmlformats.org/officeDocument/2006/relationships/hyperlink" Target="https://shared.fastly.steamstatic.com/community_assets/images/apps/374320/512e7a3273961258de448adf58b89370f2cb26f6.jpg" TargetMode="External"/><Relationship Id="rId1" Type="http://schemas.openxmlformats.org/officeDocument/2006/relationships/hyperlink" Target="https://shared.fastly.steamstatic.com/community_assets/images/apps/2358720/17dcc00a299e2c211217a15afff28248dc79ef7a.jpg" TargetMode="External"/><Relationship Id="rId6" Type="http://schemas.openxmlformats.org/officeDocument/2006/relationships/hyperlink" Target="https://shared.fastly.steamstatic.com/community_assets/images/apps/1245620/9844ceb487fa8702ef9fddf8cf09b3767d985a14.jpg" TargetMode="External"/><Relationship Id="rId11" Type="http://schemas.openxmlformats.org/officeDocument/2006/relationships/hyperlink" Target="https://shared.fastly.steamstatic.com/community_assets/images/apps/1030300/42d64a86bb4d50c2574612892ccdde465a020a54.jpg" TargetMode="External"/><Relationship Id="rId24" Type="http://schemas.openxmlformats.org/officeDocument/2006/relationships/hyperlink" Target="https://shared.fastly.steamstatic.com/community_assets/images/apps/2638890/0a1386e0b924db19aa90b5667dcec01a36511d48.jpg" TargetMode="External"/><Relationship Id="rId5" Type="http://schemas.openxmlformats.org/officeDocument/2006/relationships/hyperlink" Target="https://shared.fastly.steamstatic.com/community_assets/images/apps/1245620/f4e5fd19d3410470709632cd02b3136b5baca33d.jpg" TargetMode="External"/><Relationship Id="rId15" Type="http://schemas.openxmlformats.org/officeDocument/2006/relationships/hyperlink" Target="https://shared.fastly.steamstatic.com/community_assets/images/apps/2138710/7ba28c776de1066c89cde64874d8747b23908e2d.jpg" TargetMode="External"/><Relationship Id="rId23" Type="http://schemas.openxmlformats.org/officeDocument/2006/relationships/hyperlink" Target="https://shared.fastly.steamstatic.com/community_assets/images/apps/268910/f768e3f225fe867e1eea454991b8ce290ce5b641.jpg" TargetMode="External"/><Relationship Id="rId28" Type="http://schemas.openxmlformats.org/officeDocument/2006/relationships/hyperlink" Target="https://shared.fastly.steamstatic.com/community_assets/images/apps/374320/1595b7bf2058e67673875eedb18e3d1838460d67.jpg" TargetMode="External"/><Relationship Id="rId10" Type="http://schemas.openxmlformats.org/officeDocument/2006/relationships/hyperlink" Target="https://shared.fastly.steamstatic.com/community_assets/images/apps/2622380/1b51d5bb0a2cd761989706876562100fba580c7c.jpg" TargetMode="External"/><Relationship Id="rId19" Type="http://schemas.openxmlformats.org/officeDocument/2006/relationships/hyperlink" Target="https://shared.fastly.steamstatic.com/community_assets/images/apps/1145350/9bd88f9a13639e00c4b9371fdce7303c5ff241fc.jpg" TargetMode="External"/><Relationship Id="rId4" Type="http://schemas.openxmlformats.org/officeDocument/2006/relationships/hyperlink" Target="https://shared.fastly.steamstatic.com/community_assets/images/apps/1627720/aeca6faa0ac1c7fd9390bbceca7ba5e589ef463a.jpg" TargetMode="External"/><Relationship Id="rId9" Type="http://schemas.openxmlformats.org/officeDocument/2006/relationships/hyperlink" Target="https://shared.fastly.steamstatic.com/community_assets/images/apps/2622380/768da8bec8e6cf31d5fb0ac90523b10e22056b82.jpg" TargetMode="External"/><Relationship Id="rId14" Type="http://schemas.openxmlformats.org/officeDocument/2006/relationships/hyperlink" Target="https://shared.fastly.steamstatic.com/community_assets/images/apps/367520/ef1f6b825646067c63f5703d1c7ba38b52d94259.jpg" TargetMode="External"/><Relationship Id="rId22" Type="http://schemas.openxmlformats.org/officeDocument/2006/relationships/hyperlink" Target="https://shared.fastly.steamstatic.com/community_assets/images/apps/268910/7f66cff96c3f74ce806ed5d311a52a11bbbce43e.jpg" TargetMode="External"/><Relationship Id="rId27" Type="http://schemas.openxmlformats.org/officeDocument/2006/relationships/hyperlink" Target="https://shared.fastly.steamstatic.com/community_assets/images/apps/1809540/034d35829e92d3ebd7743eff871e3111999aa2f9.jpg" TargetMode="External"/><Relationship Id="rId30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E510-8428-44DB-95D7-1EC4BA533A27}">
  <dimension ref="A1:B12"/>
  <sheetViews>
    <sheetView workbookViewId="0">
      <selection activeCell="B7" sqref="B7"/>
    </sheetView>
  </sheetViews>
  <sheetFormatPr defaultRowHeight="14.4" x14ac:dyDescent="0.3"/>
  <cols>
    <col min="1" max="1" width="14.21875" bestFit="1" customWidth="1"/>
    <col min="2" max="2" width="17.21875" bestFit="1" customWidth="1"/>
  </cols>
  <sheetData>
    <row r="1" spans="1:2" x14ac:dyDescent="0.3">
      <c r="A1" s="7" t="s">
        <v>1269</v>
      </c>
      <c r="B1" t="s">
        <v>1271</v>
      </c>
    </row>
    <row r="2" spans="1:2" x14ac:dyDescent="0.3">
      <c r="A2" s="8">
        <v>1</v>
      </c>
      <c r="B2" s="6">
        <v>0.91887499999999989</v>
      </c>
    </row>
    <row r="3" spans="1:2" x14ac:dyDescent="0.3">
      <c r="A3" s="9" t="s">
        <v>1272</v>
      </c>
      <c r="B3" s="6">
        <v>0.91887499999999989</v>
      </c>
    </row>
    <row r="4" spans="1:2" x14ac:dyDescent="0.3">
      <c r="A4" s="8">
        <v>2</v>
      </c>
      <c r="B4" s="6">
        <v>0.76475000000000015</v>
      </c>
    </row>
    <row r="5" spans="1:2" x14ac:dyDescent="0.3">
      <c r="A5" s="9" t="s">
        <v>1273</v>
      </c>
      <c r="B5" s="6">
        <v>0.76475000000000015</v>
      </c>
    </row>
    <row r="6" spans="1:2" x14ac:dyDescent="0.3">
      <c r="A6" s="8">
        <v>3</v>
      </c>
      <c r="B6" s="6">
        <v>0.6056666666666668</v>
      </c>
    </row>
    <row r="7" spans="1:2" x14ac:dyDescent="0.3">
      <c r="A7" s="9" t="s">
        <v>1274</v>
      </c>
      <c r="B7" s="6">
        <v>0.6056666666666668</v>
      </c>
    </row>
    <row r="8" spans="1:2" x14ac:dyDescent="0.3">
      <c r="A8" s="8">
        <v>4</v>
      </c>
      <c r="B8" s="6">
        <v>0.47699999999999992</v>
      </c>
    </row>
    <row r="9" spans="1:2" x14ac:dyDescent="0.3">
      <c r="A9" s="9" t="s">
        <v>1275</v>
      </c>
      <c r="B9" s="6">
        <v>0.47699999999999992</v>
      </c>
    </row>
    <row r="10" spans="1:2" x14ac:dyDescent="0.3">
      <c r="A10" s="8">
        <v>5</v>
      </c>
      <c r="B10" s="6">
        <v>0.36000000000000004</v>
      </c>
    </row>
    <row r="11" spans="1:2" x14ac:dyDescent="0.3">
      <c r="A11" s="9" t="s">
        <v>1276</v>
      </c>
      <c r="B11" s="6">
        <v>0.36000000000000004</v>
      </c>
    </row>
    <row r="12" spans="1:2" x14ac:dyDescent="0.3">
      <c r="A12" s="8" t="s">
        <v>1270</v>
      </c>
      <c r="B12" s="6">
        <v>0.60428571428571431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0"/>
  <sheetViews>
    <sheetView tabSelected="1" topLeftCell="A723" workbookViewId="0">
      <selection activeCell="D750" sqref="D750"/>
    </sheetView>
  </sheetViews>
  <sheetFormatPr defaultRowHeight="14.4" x14ac:dyDescent="0.3"/>
  <cols>
    <col min="1" max="1" width="10.109375" customWidth="1"/>
    <col min="3" max="3" width="35.21875" bestFit="1" customWidth="1"/>
    <col min="4" max="4" width="12.33203125" customWidth="1"/>
    <col min="5" max="5" width="9.33203125" customWidth="1"/>
    <col min="6" max="6" width="12.5546875" customWidth="1"/>
    <col min="7" max="9" width="16.88671875" customWidth="1"/>
  </cols>
  <sheetData>
    <row r="1" spans="1:10" x14ac:dyDescent="0.3">
      <c r="A1" t="s">
        <v>1172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1173</v>
      </c>
      <c r="H1" s="3" t="s">
        <v>1268</v>
      </c>
      <c r="I1" s="3" t="s">
        <v>1285</v>
      </c>
      <c r="J1" s="3" t="s">
        <v>1178</v>
      </c>
    </row>
    <row r="2" spans="1:10" x14ac:dyDescent="0.3">
      <c r="A2" s="1">
        <v>0</v>
      </c>
      <c r="B2" t="s">
        <v>5</v>
      </c>
      <c r="C2" t="s">
        <v>15</v>
      </c>
      <c r="D2" t="s">
        <v>526</v>
      </c>
      <c r="E2" s="4">
        <v>0.97699999999999998</v>
      </c>
      <c r="F2" s="2" t="s">
        <v>1039</v>
      </c>
      <c r="G2" t="s">
        <v>1272</v>
      </c>
      <c r="H2">
        <f>IFERROR(_xlfn.XLOOKUP(Table1[[#This Row],[Marker]],Table2[Marker],Table2[ID]),-1)</f>
        <v>1</v>
      </c>
      <c r="I2">
        <f>_xlfn.XLOOKUP(Table1[[#This Row],[Game]],Table14[Game],Table14[release_year])</f>
        <v>2024</v>
      </c>
    </row>
    <row r="3" spans="1:10" x14ac:dyDescent="0.3">
      <c r="A3" s="1">
        <v>1</v>
      </c>
      <c r="B3" t="s">
        <v>5</v>
      </c>
      <c r="C3" t="s">
        <v>16</v>
      </c>
      <c r="D3" t="s">
        <v>527</v>
      </c>
      <c r="E3" s="4">
        <v>0.85</v>
      </c>
      <c r="F3" s="2" t="s">
        <v>1040</v>
      </c>
      <c r="G3" t="s">
        <v>1273</v>
      </c>
      <c r="H3">
        <f>IFERROR(_xlfn.XLOOKUP(Table1[[#This Row],[Marker]],Table2[Marker],Table2[ID]),-1)</f>
        <v>2</v>
      </c>
      <c r="I3">
        <f>_xlfn.XLOOKUP(Table1[[#This Row],[Game]],Table14[Game],Table14[release_year])</f>
        <v>2024</v>
      </c>
    </row>
    <row r="4" spans="1:10" x14ac:dyDescent="0.3">
      <c r="A4" s="1">
        <v>2</v>
      </c>
      <c r="B4" t="s">
        <v>5</v>
      </c>
      <c r="C4" t="s">
        <v>17</v>
      </c>
      <c r="D4" t="s">
        <v>528</v>
      </c>
      <c r="E4" s="4">
        <v>0.84799999999999998</v>
      </c>
      <c r="F4" t="s">
        <v>1041</v>
      </c>
      <c r="H4">
        <f>IFERROR(_xlfn.XLOOKUP(Table1[[#This Row],[Marker]],Table2[Marker],Table2[ID]),-1)</f>
        <v>-1</v>
      </c>
      <c r="I4">
        <f>_xlfn.XLOOKUP(Table1[[#This Row],[Game]],Table14[Game],Table14[release_year])</f>
        <v>2024</v>
      </c>
    </row>
    <row r="5" spans="1:10" x14ac:dyDescent="0.3">
      <c r="A5" s="1">
        <v>3</v>
      </c>
      <c r="B5" t="s">
        <v>5</v>
      </c>
      <c r="C5" t="s">
        <v>18</v>
      </c>
      <c r="D5" t="s">
        <v>529</v>
      </c>
      <c r="E5" s="4">
        <v>0.83799999999999997</v>
      </c>
      <c r="F5" t="s">
        <v>1041</v>
      </c>
      <c r="H5">
        <f>IFERROR(_xlfn.XLOOKUP(Table1[[#This Row],[Marker]],Table2[Marker],Table2[ID]),-1)</f>
        <v>-1</v>
      </c>
      <c r="I5">
        <f>_xlfn.XLOOKUP(Table1[[#This Row],[Game]],Table14[Game],Table14[release_year])</f>
        <v>2024</v>
      </c>
    </row>
    <row r="6" spans="1:10" x14ac:dyDescent="0.3">
      <c r="A6" s="1">
        <v>4</v>
      </c>
      <c r="B6" t="s">
        <v>5</v>
      </c>
      <c r="C6" t="s">
        <v>19</v>
      </c>
      <c r="D6" t="s">
        <v>530</v>
      </c>
      <c r="E6" s="4">
        <v>0.81400000000000006</v>
      </c>
      <c r="F6" t="s">
        <v>1041</v>
      </c>
      <c r="H6">
        <f>IFERROR(_xlfn.XLOOKUP(Table1[[#This Row],[Marker]],Table2[Marker],Table2[ID]),-1)</f>
        <v>-1</v>
      </c>
      <c r="I6">
        <f>_xlfn.XLOOKUP(Table1[[#This Row],[Game]],Table14[Game],Table14[release_year])</f>
        <v>2024</v>
      </c>
    </row>
    <row r="7" spans="1:10" x14ac:dyDescent="0.3">
      <c r="A7" s="1">
        <v>5</v>
      </c>
      <c r="B7" t="s">
        <v>5</v>
      </c>
      <c r="C7" t="s">
        <v>20</v>
      </c>
      <c r="D7" t="s">
        <v>531</v>
      </c>
      <c r="E7" s="4">
        <v>0.80599999999999994</v>
      </c>
      <c r="F7" t="s">
        <v>1041</v>
      </c>
      <c r="H7">
        <f>IFERROR(_xlfn.XLOOKUP(Table1[[#This Row],[Marker]],Table2[Marker],Table2[ID]),-1)</f>
        <v>-1</v>
      </c>
      <c r="I7">
        <f>_xlfn.XLOOKUP(Table1[[#This Row],[Game]],Table14[Game],Table14[release_year])</f>
        <v>2024</v>
      </c>
    </row>
    <row r="8" spans="1:10" x14ac:dyDescent="0.3">
      <c r="A8" s="1">
        <v>6</v>
      </c>
      <c r="B8" t="s">
        <v>5</v>
      </c>
      <c r="C8" t="s">
        <v>21</v>
      </c>
      <c r="D8" t="s">
        <v>532</v>
      </c>
      <c r="E8" s="4">
        <v>0.78900000000000003</v>
      </c>
      <c r="F8" t="s">
        <v>1041</v>
      </c>
      <c r="H8">
        <f>IFERROR(_xlfn.XLOOKUP(Table1[[#This Row],[Marker]],Table2[Marker],Table2[ID]),-1)</f>
        <v>-1</v>
      </c>
      <c r="I8">
        <f>_xlfn.XLOOKUP(Table1[[#This Row],[Game]],Table14[Game],Table14[release_year])</f>
        <v>2024</v>
      </c>
    </row>
    <row r="9" spans="1:10" x14ac:dyDescent="0.3">
      <c r="A9" s="1">
        <v>7</v>
      </c>
      <c r="B9" t="s">
        <v>5</v>
      </c>
      <c r="C9" t="s">
        <v>22</v>
      </c>
      <c r="D9" t="s">
        <v>533</v>
      </c>
      <c r="E9" s="4">
        <v>0.78400000000000003</v>
      </c>
      <c r="F9" t="s">
        <v>1041</v>
      </c>
      <c r="H9">
        <f>IFERROR(_xlfn.XLOOKUP(Table1[[#This Row],[Marker]],Table2[Marker],Table2[ID]),-1)</f>
        <v>-1</v>
      </c>
      <c r="I9">
        <f>_xlfn.XLOOKUP(Table1[[#This Row],[Game]],Table14[Game],Table14[release_year])</f>
        <v>2024</v>
      </c>
    </row>
    <row r="10" spans="1:10" x14ac:dyDescent="0.3">
      <c r="A10" s="1">
        <v>8</v>
      </c>
      <c r="B10" t="s">
        <v>5</v>
      </c>
      <c r="C10" t="s">
        <v>23</v>
      </c>
      <c r="D10" t="s">
        <v>534</v>
      </c>
      <c r="E10" s="4">
        <v>0.75099999999999989</v>
      </c>
      <c r="F10" t="s">
        <v>1041</v>
      </c>
      <c r="H10">
        <f>IFERROR(_xlfn.XLOOKUP(Table1[[#This Row],[Marker]],Table2[Marker],Table2[ID]),-1)</f>
        <v>-1</v>
      </c>
      <c r="I10">
        <f>_xlfn.XLOOKUP(Table1[[#This Row],[Game]],Table14[Game],Table14[release_year])</f>
        <v>2024</v>
      </c>
    </row>
    <row r="11" spans="1:10" x14ac:dyDescent="0.3">
      <c r="A11" s="1">
        <v>9</v>
      </c>
      <c r="B11" t="s">
        <v>5</v>
      </c>
      <c r="C11" t="s">
        <v>24</v>
      </c>
      <c r="D11" t="s">
        <v>535</v>
      </c>
      <c r="E11" s="4">
        <v>0.746</v>
      </c>
      <c r="F11" t="s">
        <v>1041</v>
      </c>
      <c r="H11">
        <f>IFERROR(_xlfn.XLOOKUP(Table1[[#This Row],[Marker]],Table2[Marker],Table2[ID]),-1)</f>
        <v>-1</v>
      </c>
      <c r="I11">
        <f>_xlfn.XLOOKUP(Table1[[#This Row],[Game]],Table14[Game],Table14[release_year])</f>
        <v>2024</v>
      </c>
    </row>
    <row r="12" spans="1:10" x14ac:dyDescent="0.3">
      <c r="A12" s="1">
        <v>10</v>
      </c>
      <c r="B12" t="s">
        <v>5</v>
      </c>
      <c r="C12" t="s">
        <v>25</v>
      </c>
      <c r="D12" t="s">
        <v>536</v>
      </c>
      <c r="E12" s="4">
        <v>0.74199999999999999</v>
      </c>
      <c r="F12" t="s">
        <v>1041</v>
      </c>
      <c r="H12">
        <f>IFERROR(_xlfn.XLOOKUP(Table1[[#This Row],[Marker]],Table2[Marker],Table2[ID]),-1)</f>
        <v>-1</v>
      </c>
      <c r="I12">
        <f>_xlfn.XLOOKUP(Table1[[#This Row],[Game]],Table14[Game],Table14[release_year])</f>
        <v>2024</v>
      </c>
    </row>
    <row r="13" spans="1:10" x14ac:dyDescent="0.3">
      <c r="A13" s="1">
        <v>11</v>
      </c>
      <c r="B13" t="s">
        <v>5</v>
      </c>
      <c r="C13" t="s">
        <v>26</v>
      </c>
      <c r="D13" t="s">
        <v>537</v>
      </c>
      <c r="E13" s="4">
        <v>0.71599999999999997</v>
      </c>
      <c r="F13" t="s">
        <v>1041</v>
      </c>
      <c r="H13">
        <f>IFERROR(_xlfn.XLOOKUP(Table1[[#This Row],[Marker]],Table2[Marker],Table2[ID]),-1)</f>
        <v>-1</v>
      </c>
      <c r="I13">
        <f>_xlfn.XLOOKUP(Table1[[#This Row],[Game]],Table14[Game],Table14[release_year])</f>
        <v>2024</v>
      </c>
    </row>
    <row r="14" spans="1:10" x14ac:dyDescent="0.3">
      <c r="A14" s="1">
        <v>12</v>
      </c>
      <c r="B14" t="s">
        <v>5</v>
      </c>
      <c r="C14" t="s">
        <v>27</v>
      </c>
      <c r="D14" t="s">
        <v>538</v>
      </c>
      <c r="E14" s="4">
        <v>0.70599999999999996</v>
      </c>
      <c r="F14" t="s">
        <v>1041</v>
      </c>
      <c r="H14">
        <f>IFERROR(_xlfn.XLOOKUP(Table1[[#This Row],[Marker]],Table2[Marker],Table2[ID]),-1)</f>
        <v>-1</v>
      </c>
      <c r="I14">
        <f>_xlfn.XLOOKUP(Table1[[#This Row],[Game]],Table14[Game],Table14[release_year])</f>
        <v>2024</v>
      </c>
    </row>
    <row r="15" spans="1:10" x14ac:dyDescent="0.3">
      <c r="A15" s="1">
        <v>13</v>
      </c>
      <c r="B15" t="s">
        <v>5</v>
      </c>
      <c r="C15" t="s">
        <v>28</v>
      </c>
      <c r="D15" t="s">
        <v>539</v>
      </c>
      <c r="E15" s="4">
        <v>0.68099999999999994</v>
      </c>
      <c r="F15" t="s">
        <v>1041</v>
      </c>
      <c r="G15" t="s">
        <v>1274</v>
      </c>
      <c r="H15">
        <f>IFERROR(_xlfn.XLOOKUP(Table1[[#This Row],[Marker]],Table2[Marker],Table2[ID]),-1)</f>
        <v>3</v>
      </c>
      <c r="I15">
        <f>_xlfn.XLOOKUP(Table1[[#This Row],[Game]],Table14[Game],Table14[release_year])</f>
        <v>2024</v>
      </c>
    </row>
    <row r="16" spans="1:10" x14ac:dyDescent="0.3">
      <c r="A16" s="1">
        <v>14</v>
      </c>
      <c r="B16" t="s">
        <v>5</v>
      </c>
      <c r="C16" t="s">
        <v>29</v>
      </c>
      <c r="D16" t="s">
        <v>540</v>
      </c>
      <c r="E16" s="4">
        <v>0.6409999999999999</v>
      </c>
      <c r="F16" t="s">
        <v>1041</v>
      </c>
      <c r="H16">
        <f>IFERROR(_xlfn.XLOOKUP(Table1[[#This Row],[Marker]],Table2[Marker],Table2[ID]),-1)</f>
        <v>-1</v>
      </c>
      <c r="I16">
        <f>_xlfn.XLOOKUP(Table1[[#This Row],[Game]],Table14[Game],Table14[release_year])</f>
        <v>2024</v>
      </c>
    </row>
    <row r="17" spans="1:9" x14ac:dyDescent="0.3">
      <c r="A17" s="1">
        <v>15</v>
      </c>
      <c r="B17" t="s">
        <v>5</v>
      </c>
      <c r="C17" t="s">
        <v>30</v>
      </c>
      <c r="D17" t="s">
        <v>541</v>
      </c>
      <c r="E17" s="4">
        <v>0.63900000000000001</v>
      </c>
      <c r="F17" t="s">
        <v>1041</v>
      </c>
      <c r="H17">
        <f>IFERROR(_xlfn.XLOOKUP(Table1[[#This Row],[Marker]],Table2[Marker],Table2[ID]),-1)</f>
        <v>-1</v>
      </c>
      <c r="I17">
        <f>_xlfn.XLOOKUP(Table1[[#This Row],[Game]],Table14[Game],Table14[release_year])</f>
        <v>2024</v>
      </c>
    </row>
    <row r="18" spans="1:9" x14ac:dyDescent="0.3">
      <c r="A18" s="1">
        <v>16</v>
      </c>
      <c r="B18" t="s">
        <v>5</v>
      </c>
      <c r="C18" t="s">
        <v>31</v>
      </c>
      <c r="D18" t="s">
        <v>542</v>
      </c>
      <c r="E18" s="4">
        <v>0.63700000000000001</v>
      </c>
      <c r="F18" t="s">
        <v>1041</v>
      </c>
      <c r="H18">
        <f>IFERROR(_xlfn.XLOOKUP(Table1[[#This Row],[Marker]],Table2[Marker],Table2[ID]),-1)</f>
        <v>-1</v>
      </c>
      <c r="I18">
        <f>_xlfn.XLOOKUP(Table1[[#This Row],[Game]],Table14[Game],Table14[release_year])</f>
        <v>2024</v>
      </c>
    </row>
    <row r="19" spans="1:9" x14ac:dyDescent="0.3">
      <c r="A19" s="1">
        <v>17</v>
      </c>
      <c r="B19" t="s">
        <v>5</v>
      </c>
      <c r="C19" t="s">
        <v>32</v>
      </c>
      <c r="D19" t="s">
        <v>543</v>
      </c>
      <c r="E19" s="4">
        <v>0.63100000000000001</v>
      </c>
      <c r="F19" t="s">
        <v>1041</v>
      </c>
      <c r="H19">
        <f>IFERROR(_xlfn.XLOOKUP(Table1[[#This Row],[Marker]],Table2[Marker],Table2[ID]),-1)</f>
        <v>-1</v>
      </c>
      <c r="I19">
        <f>_xlfn.XLOOKUP(Table1[[#This Row],[Game]],Table14[Game],Table14[release_year])</f>
        <v>2024</v>
      </c>
    </row>
    <row r="20" spans="1:9" x14ac:dyDescent="0.3">
      <c r="A20" s="1">
        <v>18</v>
      </c>
      <c r="B20" t="s">
        <v>5</v>
      </c>
      <c r="C20" t="s">
        <v>33</v>
      </c>
      <c r="D20" t="s">
        <v>544</v>
      </c>
      <c r="E20" s="4">
        <v>0.61899999999999999</v>
      </c>
      <c r="F20" t="s">
        <v>1041</v>
      </c>
      <c r="H20">
        <f>IFERROR(_xlfn.XLOOKUP(Table1[[#This Row],[Marker]],Table2[Marker],Table2[ID]),-1)</f>
        <v>-1</v>
      </c>
      <c r="I20">
        <f>_xlfn.XLOOKUP(Table1[[#This Row],[Game]],Table14[Game],Table14[release_year])</f>
        <v>2024</v>
      </c>
    </row>
    <row r="21" spans="1:9" x14ac:dyDescent="0.3">
      <c r="A21" s="1">
        <v>19</v>
      </c>
      <c r="B21" t="s">
        <v>5</v>
      </c>
      <c r="C21" t="s">
        <v>34</v>
      </c>
      <c r="D21" t="s">
        <v>545</v>
      </c>
      <c r="E21" s="4">
        <v>0.61099999999999999</v>
      </c>
      <c r="F21" t="s">
        <v>1041</v>
      </c>
      <c r="H21">
        <f>IFERROR(_xlfn.XLOOKUP(Table1[[#This Row],[Marker]],Table2[Marker],Table2[ID]),-1)</f>
        <v>-1</v>
      </c>
      <c r="I21">
        <f>_xlfn.XLOOKUP(Table1[[#This Row],[Game]],Table14[Game],Table14[release_year])</f>
        <v>2024</v>
      </c>
    </row>
    <row r="22" spans="1:9" x14ac:dyDescent="0.3">
      <c r="A22" s="1">
        <v>20</v>
      </c>
      <c r="B22" t="s">
        <v>5</v>
      </c>
      <c r="C22" t="s">
        <v>35</v>
      </c>
      <c r="D22" t="s">
        <v>546</v>
      </c>
      <c r="E22" s="4">
        <v>0.60799999999999998</v>
      </c>
      <c r="F22" t="s">
        <v>1041</v>
      </c>
      <c r="H22">
        <f>IFERROR(_xlfn.XLOOKUP(Table1[[#This Row],[Marker]],Table2[Marker],Table2[ID]),-1)</f>
        <v>-1</v>
      </c>
      <c r="I22">
        <f>_xlfn.XLOOKUP(Table1[[#This Row],[Game]],Table14[Game],Table14[release_year])</f>
        <v>2024</v>
      </c>
    </row>
    <row r="23" spans="1:9" x14ac:dyDescent="0.3">
      <c r="A23" s="1">
        <v>21</v>
      </c>
      <c r="B23" t="s">
        <v>5</v>
      </c>
      <c r="C23" t="s">
        <v>36</v>
      </c>
      <c r="D23" t="s">
        <v>547</v>
      </c>
      <c r="E23" s="4">
        <v>0.60499999999999998</v>
      </c>
      <c r="F23" t="s">
        <v>1041</v>
      </c>
      <c r="H23">
        <f>IFERROR(_xlfn.XLOOKUP(Table1[[#This Row],[Marker]],Table2[Marker],Table2[ID]),-1)</f>
        <v>-1</v>
      </c>
      <c r="I23">
        <f>_xlfn.XLOOKUP(Table1[[#This Row],[Game]],Table14[Game],Table14[release_year])</f>
        <v>2024</v>
      </c>
    </row>
    <row r="24" spans="1:9" x14ac:dyDescent="0.3">
      <c r="A24" s="1">
        <v>22</v>
      </c>
      <c r="B24" t="s">
        <v>5</v>
      </c>
      <c r="C24" t="s">
        <v>37</v>
      </c>
      <c r="D24" t="s">
        <v>548</v>
      </c>
      <c r="E24" s="4">
        <v>0.60099999999999998</v>
      </c>
      <c r="F24" t="s">
        <v>1041</v>
      </c>
      <c r="H24">
        <f>IFERROR(_xlfn.XLOOKUP(Table1[[#This Row],[Marker]],Table2[Marker],Table2[ID]),-1)</f>
        <v>-1</v>
      </c>
      <c r="I24">
        <f>_xlfn.XLOOKUP(Table1[[#This Row],[Game]],Table14[Game],Table14[release_year])</f>
        <v>2024</v>
      </c>
    </row>
    <row r="25" spans="1:9" x14ac:dyDescent="0.3">
      <c r="A25" s="1">
        <v>23</v>
      </c>
      <c r="B25" t="s">
        <v>5</v>
      </c>
      <c r="C25" t="s">
        <v>38</v>
      </c>
      <c r="D25" t="s">
        <v>549</v>
      </c>
      <c r="E25" s="4">
        <v>0.59200000000000008</v>
      </c>
      <c r="F25" t="s">
        <v>1041</v>
      </c>
      <c r="H25">
        <f>IFERROR(_xlfn.XLOOKUP(Table1[[#This Row],[Marker]],Table2[Marker],Table2[ID]),-1)</f>
        <v>-1</v>
      </c>
      <c r="I25">
        <f>_xlfn.XLOOKUP(Table1[[#This Row],[Game]],Table14[Game],Table14[release_year])</f>
        <v>2024</v>
      </c>
    </row>
    <row r="26" spans="1:9" x14ac:dyDescent="0.3">
      <c r="A26" s="1">
        <v>24</v>
      </c>
      <c r="B26" t="s">
        <v>5</v>
      </c>
      <c r="C26" t="s">
        <v>39</v>
      </c>
      <c r="D26" t="s">
        <v>550</v>
      </c>
      <c r="E26" s="4">
        <v>0.59</v>
      </c>
      <c r="F26" t="s">
        <v>1041</v>
      </c>
      <c r="H26">
        <f>IFERROR(_xlfn.XLOOKUP(Table1[[#This Row],[Marker]],Table2[Marker],Table2[ID]),-1)</f>
        <v>-1</v>
      </c>
      <c r="I26">
        <f>_xlfn.XLOOKUP(Table1[[#This Row],[Game]],Table14[Game],Table14[release_year])</f>
        <v>2024</v>
      </c>
    </row>
    <row r="27" spans="1:9" x14ac:dyDescent="0.3">
      <c r="A27" s="1">
        <v>25</v>
      </c>
      <c r="B27" t="s">
        <v>5</v>
      </c>
      <c r="C27" t="s">
        <v>40</v>
      </c>
      <c r="D27" t="s">
        <v>551</v>
      </c>
      <c r="E27" s="4">
        <v>0.56700000000000006</v>
      </c>
      <c r="F27" t="s">
        <v>1041</v>
      </c>
      <c r="H27">
        <f>IFERROR(_xlfn.XLOOKUP(Table1[[#This Row],[Marker]],Table2[Marker],Table2[ID]),-1)</f>
        <v>-1</v>
      </c>
      <c r="I27">
        <f>_xlfn.XLOOKUP(Table1[[#This Row],[Game]],Table14[Game],Table14[release_year])</f>
        <v>2024</v>
      </c>
    </row>
    <row r="28" spans="1:9" x14ac:dyDescent="0.3">
      <c r="A28" s="1">
        <v>26</v>
      </c>
      <c r="B28" t="s">
        <v>5</v>
      </c>
      <c r="C28" t="s">
        <v>41</v>
      </c>
      <c r="D28" t="s">
        <v>552</v>
      </c>
      <c r="E28" s="4">
        <v>0.56600000000000006</v>
      </c>
      <c r="F28" t="s">
        <v>1041</v>
      </c>
      <c r="H28">
        <f>IFERROR(_xlfn.XLOOKUP(Table1[[#This Row],[Marker]],Table2[Marker],Table2[ID]),-1)</f>
        <v>-1</v>
      </c>
      <c r="I28">
        <f>_xlfn.XLOOKUP(Table1[[#This Row],[Game]],Table14[Game],Table14[release_year])</f>
        <v>2024</v>
      </c>
    </row>
    <row r="29" spans="1:9" x14ac:dyDescent="0.3">
      <c r="A29" s="1">
        <v>27</v>
      </c>
      <c r="B29" t="s">
        <v>5</v>
      </c>
      <c r="C29" t="s">
        <v>42</v>
      </c>
      <c r="D29" t="s">
        <v>553</v>
      </c>
      <c r="E29" s="4">
        <v>0.55700000000000005</v>
      </c>
      <c r="F29" t="s">
        <v>1041</v>
      </c>
      <c r="H29">
        <f>IFERROR(_xlfn.XLOOKUP(Table1[[#This Row],[Marker]],Table2[Marker],Table2[ID]),-1)</f>
        <v>-1</v>
      </c>
      <c r="I29">
        <f>_xlfn.XLOOKUP(Table1[[#This Row],[Game]],Table14[Game],Table14[release_year])</f>
        <v>2024</v>
      </c>
    </row>
    <row r="30" spans="1:9" x14ac:dyDescent="0.3">
      <c r="A30" s="1">
        <v>28</v>
      </c>
      <c r="B30" t="s">
        <v>5</v>
      </c>
      <c r="C30" t="s">
        <v>43</v>
      </c>
      <c r="D30" t="s">
        <v>554</v>
      </c>
      <c r="E30" s="4">
        <v>0.55600000000000005</v>
      </c>
      <c r="F30" t="s">
        <v>1041</v>
      </c>
      <c r="H30">
        <f>IFERROR(_xlfn.XLOOKUP(Table1[[#This Row],[Marker]],Table2[Marker],Table2[ID]),-1)</f>
        <v>-1</v>
      </c>
      <c r="I30">
        <f>_xlfn.XLOOKUP(Table1[[#This Row],[Game]],Table14[Game],Table14[release_year])</f>
        <v>2024</v>
      </c>
    </row>
    <row r="31" spans="1:9" x14ac:dyDescent="0.3">
      <c r="A31" s="1">
        <v>29</v>
      </c>
      <c r="B31" t="s">
        <v>5</v>
      </c>
      <c r="C31" t="s">
        <v>44</v>
      </c>
      <c r="D31" t="s">
        <v>555</v>
      </c>
      <c r="E31" s="4">
        <v>0.55399999999999994</v>
      </c>
      <c r="F31" t="s">
        <v>1041</v>
      </c>
      <c r="H31">
        <f>IFERROR(_xlfn.XLOOKUP(Table1[[#This Row],[Marker]],Table2[Marker],Table2[ID]),-1)</f>
        <v>-1</v>
      </c>
      <c r="I31">
        <f>_xlfn.XLOOKUP(Table1[[#This Row],[Game]],Table14[Game],Table14[release_year])</f>
        <v>2024</v>
      </c>
    </row>
    <row r="32" spans="1:9" x14ac:dyDescent="0.3">
      <c r="A32" s="1">
        <v>30</v>
      </c>
      <c r="B32" t="s">
        <v>5</v>
      </c>
      <c r="C32" t="s">
        <v>45</v>
      </c>
      <c r="D32" t="s">
        <v>556</v>
      </c>
      <c r="E32" s="4">
        <v>0.55200000000000005</v>
      </c>
      <c r="F32" t="s">
        <v>1041</v>
      </c>
      <c r="H32">
        <f>IFERROR(_xlfn.XLOOKUP(Table1[[#This Row],[Marker]],Table2[Marker],Table2[ID]),-1)</f>
        <v>-1</v>
      </c>
      <c r="I32">
        <f>_xlfn.XLOOKUP(Table1[[#This Row],[Game]],Table14[Game],Table14[release_year])</f>
        <v>2024</v>
      </c>
    </row>
    <row r="33" spans="1:9" x14ac:dyDescent="0.3">
      <c r="A33" s="1">
        <v>31</v>
      </c>
      <c r="B33" t="s">
        <v>5</v>
      </c>
      <c r="C33" t="s">
        <v>46</v>
      </c>
      <c r="D33" t="s">
        <v>557</v>
      </c>
      <c r="E33" s="4">
        <v>0.55100000000000005</v>
      </c>
      <c r="F33" t="s">
        <v>1041</v>
      </c>
      <c r="H33">
        <f>IFERROR(_xlfn.XLOOKUP(Table1[[#This Row],[Marker]],Table2[Marker],Table2[ID]),-1)</f>
        <v>-1</v>
      </c>
      <c r="I33">
        <f>_xlfn.XLOOKUP(Table1[[#This Row],[Game]],Table14[Game],Table14[release_year])</f>
        <v>2024</v>
      </c>
    </row>
    <row r="34" spans="1:9" x14ac:dyDescent="0.3">
      <c r="A34" s="1">
        <v>32</v>
      </c>
      <c r="B34" t="s">
        <v>5</v>
      </c>
      <c r="C34" t="s">
        <v>47</v>
      </c>
      <c r="D34" t="s">
        <v>558</v>
      </c>
      <c r="E34" s="4">
        <v>0.53900000000000003</v>
      </c>
      <c r="F34" t="s">
        <v>1041</v>
      </c>
      <c r="H34">
        <f>IFERROR(_xlfn.XLOOKUP(Table1[[#This Row],[Marker]],Table2[Marker],Table2[ID]),-1)</f>
        <v>-1</v>
      </c>
      <c r="I34">
        <f>_xlfn.XLOOKUP(Table1[[#This Row],[Game]],Table14[Game],Table14[release_year])</f>
        <v>2024</v>
      </c>
    </row>
    <row r="35" spans="1:9" x14ac:dyDescent="0.3">
      <c r="A35" s="1">
        <v>33</v>
      </c>
      <c r="B35" t="s">
        <v>5</v>
      </c>
      <c r="C35" t="s">
        <v>48</v>
      </c>
      <c r="D35" t="s">
        <v>559</v>
      </c>
      <c r="E35" s="4">
        <v>0.53</v>
      </c>
      <c r="F35" t="s">
        <v>1041</v>
      </c>
      <c r="G35" t="s">
        <v>1275</v>
      </c>
      <c r="H35">
        <f>IFERROR(_xlfn.XLOOKUP(Table1[[#This Row],[Marker]],Table2[Marker],Table2[ID]),-1)</f>
        <v>4</v>
      </c>
      <c r="I35">
        <f>_xlfn.XLOOKUP(Table1[[#This Row],[Game]],Table14[Game],Table14[release_year])</f>
        <v>2024</v>
      </c>
    </row>
    <row r="36" spans="1:9" x14ac:dyDescent="0.3">
      <c r="A36" s="1">
        <v>34</v>
      </c>
      <c r="B36" t="s">
        <v>5</v>
      </c>
      <c r="C36" t="s">
        <v>49</v>
      </c>
      <c r="D36" t="s">
        <v>560</v>
      </c>
      <c r="E36" s="4">
        <v>0.52900000000000003</v>
      </c>
      <c r="F36" t="s">
        <v>1041</v>
      </c>
      <c r="H36">
        <f>IFERROR(_xlfn.XLOOKUP(Table1[[#This Row],[Marker]],Table2[Marker],Table2[ID]),-1)</f>
        <v>-1</v>
      </c>
      <c r="I36">
        <f>_xlfn.XLOOKUP(Table1[[#This Row],[Game]],Table14[Game],Table14[release_year])</f>
        <v>2024</v>
      </c>
    </row>
    <row r="37" spans="1:9" x14ac:dyDescent="0.3">
      <c r="A37" s="1">
        <v>35</v>
      </c>
      <c r="B37" t="s">
        <v>5</v>
      </c>
      <c r="C37" t="s">
        <v>50</v>
      </c>
      <c r="D37" t="s">
        <v>561</v>
      </c>
      <c r="E37" s="4">
        <v>0.51600000000000001</v>
      </c>
      <c r="F37" t="s">
        <v>1041</v>
      </c>
      <c r="H37">
        <f>IFERROR(_xlfn.XLOOKUP(Table1[[#This Row],[Marker]],Table2[Marker],Table2[ID]),-1)</f>
        <v>-1</v>
      </c>
      <c r="I37">
        <f>_xlfn.XLOOKUP(Table1[[#This Row],[Game]],Table14[Game],Table14[release_year])</f>
        <v>2024</v>
      </c>
    </row>
    <row r="38" spans="1:9" x14ac:dyDescent="0.3">
      <c r="A38" s="1">
        <v>36</v>
      </c>
      <c r="B38" t="s">
        <v>5</v>
      </c>
      <c r="C38" t="s">
        <v>51</v>
      </c>
      <c r="D38" t="s">
        <v>562</v>
      </c>
      <c r="E38" s="4">
        <v>0.51500000000000001</v>
      </c>
      <c r="F38" t="s">
        <v>1041</v>
      </c>
      <c r="H38">
        <f>IFERROR(_xlfn.XLOOKUP(Table1[[#This Row],[Marker]],Table2[Marker],Table2[ID]),-1)</f>
        <v>-1</v>
      </c>
      <c r="I38">
        <f>_xlfn.XLOOKUP(Table1[[#This Row],[Game]],Table14[Game],Table14[release_year])</f>
        <v>2024</v>
      </c>
    </row>
    <row r="39" spans="1:9" x14ac:dyDescent="0.3">
      <c r="A39" s="1">
        <v>37</v>
      </c>
      <c r="B39" t="s">
        <v>5</v>
      </c>
      <c r="C39" t="s">
        <v>52</v>
      </c>
      <c r="D39" t="s">
        <v>563</v>
      </c>
      <c r="E39" s="4">
        <v>0.51300000000000001</v>
      </c>
      <c r="F39" t="s">
        <v>1041</v>
      </c>
      <c r="H39">
        <f>IFERROR(_xlfn.XLOOKUP(Table1[[#This Row],[Marker]],Table2[Marker],Table2[ID]),-1)</f>
        <v>-1</v>
      </c>
      <c r="I39">
        <f>_xlfn.XLOOKUP(Table1[[#This Row],[Game]],Table14[Game],Table14[release_year])</f>
        <v>2024</v>
      </c>
    </row>
    <row r="40" spans="1:9" x14ac:dyDescent="0.3">
      <c r="A40" s="1">
        <v>38</v>
      </c>
      <c r="B40" t="s">
        <v>5</v>
      </c>
      <c r="C40" t="s">
        <v>53</v>
      </c>
      <c r="D40" t="s">
        <v>564</v>
      </c>
      <c r="E40" s="4">
        <v>0.50700000000000001</v>
      </c>
      <c r="F40" t="s">
        <v>1041</v>
      </c>
      <c r="H40">
        <f>IFERROR(_xlfn.XLOOKUP(Table1[[#This Row],[Marker]],Table2[Marker],Table2[ID]),-1)</f>
        <v>-1</v>
      </c>
      <c r="I40">
        <f>_xlfn.XLOOKUP(Table1[[#This Row],[Game]],Table14[Game],Table14[release_year])</f>
        <v>2024</v>
      </c>
    </row>
    <row r="41" spans="1:9" x14ac:dyDescent="0.3">
      <c r="A41" s="1">
        <v>39</v>
      </c>
      <c r="B41" t="s">
        <v>5</v>
      </c>
      <c r="C41" t="s">
        <v>54</v>
      </c>
      <c r="D41" t="s">
        <v>565</v>
      </c>
      <c r="E41" s="4">
        <v>0.504</v>
      </c>
      <c r="F41" t="s">
        <v>1041</v>
      </c>
      <c r="H41">
        <f>IFERROR(_xlfn.XLOOKUP(Table1[[#This Row],[Marker]],Table2[Marker],Table2[ID]),-1)</f>
        <v>-1</v>
      </c>
      <c r="I41">
        <f>_xlfn.XLOOKUP(Table1[[#This Row],[Game]],Table14[Game],Table14[release_year])</f>
        <v>2024</v>
      </c>
    </row>
    <row r="42" spans="1:9" x14ac:dyDescent="0.3">
      <c r="A42" s="1">
        <v>40</v>
      </c>
      <c r="B42" t="s">
        <v>5</v>
      </c>
      <c r="C42" t="s">
        <v>55</v>
      </c>
      <c r="D42" t="s">
        <v>566</v>
      </c>
      <c r="E42" s="4">
        <v>0.503</v>
      </c>
      <c r="F42" t="s">
        <v>1041</v>
      </c>
      <c r="H42">
        <f>IFERROR(_xlfn.XLOOKUP(Table1[[#This Row],[Marker]],Table2[Marker],Table2[ID]),-1)</f>
        <v>-1</v>
      </c>
      <c r="I42">
        <f>_xlfn.XLOOKUP(Table1[[#This Row],[Game]],Table14[Game],Table14[release_year])</f>
        <v>2024</v>
      </c>
    </row>
    <row r="43" spans="1:9" x14ac:dyDescent="0.3">
      <c r="A43" s="1">
        <v>41</v>
      </c>
      <c r="B43" t="s">
        <v>5</v>
      </c>
      <c r="C43" t="s">
        <v>56</v>
      </c>
      <c r="D43" t="s">
        <v>567</v>
      </c>
      <c r="E43" s="4">
        <v>0.502</v>
      </c>
      <c r="F43" t="s">
        <v>1041</v>
      </c>
      <c r="H43">
        <f>IFERROR(_xlfn.XLOOKUP(Table1[[#This Row],[Marker]],Table2[Marker],Table2[ID]),-1)</f>
        <v>-1</v>
      </c>
      <c r="I43">
        <f>_xlfn.XLOOKUP(Table1[[#This Row],[Game]],Table14[Game],Table14[release_year])</f>
        <v>2024</v>
      </c>
    </row>
    <row r="44" spans="1:9" x14ac:dyDescent="0.3">
      <c r="A44" s="1">
        <v>42</v>
      </c>
      <c r="B44" t="s">
        <v>5</v>
      </c>
      <c r="C44" t="s">
        <v>57</v>
      </c>
      <c r="D44" t="s">
        <v>568</v>
      </c>
      <c r="E44" s="4">
        <v>0.49700000000000005</v>
      </c>
      <c r="F44" t="s">
        <v>1041</v>
      </c>
      <c r="H44">
        <f>IFERROR(_xlfn.XLOOKUP(Table1[[#This Row],[Marker]],Table2[Marker],Table2[ID]),-1)</f>
        <v>-1</v>
      </c>
      <c r="I44">
        <f>_xlfn.XLOOKUP(Table1[[#This Row],[Game]],Table14[Game],Table14[release_year])</f>
        <v>2024</v>
      </c>
    </row>
    <row r="45" spans="1:9" x14ac:dyDescent="0.3">
      <c r="A45" s="1">
        <v>43</v>
      </c>
      <c r="B45" t="s">
        <v>5</v>
      </c>
      <c r="C45" t="s">
        <v>58</v>
      </c>
      <c r="D45" t="s">
        <v>569</v>
      </c>
      <c r="E45" s="4">
        <v>0.49299999999999999</v>
      </c>
      <c r="F45" t="s">
        <v>1041</v>
      </c>
      <c r="H45">
        <f>IFERROR(_xlfn.XLOOKUP(Table1[[#This Row],[Marker]],Table2[Marker],Table2[ID]),-1)</f>
        <v>-1</v>
      </c>
      <c r="I45">
        <f>_xlfn.XLOOKUP(Table1[[#This Row],[Game]],Table14[Game],Table14[release_year])</f>
        <v>2024</v>
      </c>
    </row>
    <row r="46" spans="1:9" x14ac:dyDescent="0.3">
      <c r="A46" s="1">
        <v>44</v>
      </c>
      <c r="B46" t="s">
        <v>5</v>
      </c>
      <c r="C46" t="s">
        <v>59</v>
      </c>
      <c r="D46" t="s">
        <v>570</v>
      </c>
      <c r="E46" s="4">
        <v>0.48700000000000004</v>
      </c>
      <c r="F46" t="s">
        <v>1041</v>
      </c>
      <c r="H46">
        <f>IFERROR(_xlfn.XLOOKUP(Table1[[#This Row],[Marker]],Table2[Marker],Table2[ID]),-1)</f>
        <v>-1</v>
      </c>
      <c r="I46">
        <f>_xlfn.XLOOKUP(Table1[[#This Row],[Game]],Table14[Game],Table14[release_year])</f>
        <v>2024</v>
      </c>
    </row>
    <row r="47" spans="1:9" x14ac:dyDescent="0.3">
      <c r="A47" s="1">
        <v>45</v>
      </c>
      <c r="B47" t="s">
        <v>5</v>
      </c>
      <c r="C47" t="s">
        <v>60</v>
      </c>
      <c r="D47" t="s">
        <v>571</v>
      </c>
      <c r="E47" s="4">
        <v>0.48499999999999999</v>
      </c>
      <c r="F47" t="s">
        <v>1041</v>
      </c>
      <c r="H47">
        <f>IFERROR(_xlfn.XLOOKUP(Table1[[#This Row],[Marker]],Table2[Marker],Table2[ID]),-1)</f>
        <v>-1</v>
      </c>
      <c r="I47">
        <f>_xlfn.XLOOKUP(Table1[[#This Row],[Game]],Table14[Game],Table14[release_year])</f>
        <v>2024</v>
      </c>
    </row>
    <row r="48" spans="1:9" x14ac:dyDescent="0.3">
      <c r="A48" s="1">
        <v>46</v>
      </c>
      <c r="B48" t="s">
        <v>5</v>
      </c>
      <c r="C48" t="s">
        <v>61</v>
      </c>
      <c r="D48" t="s">
        <v>572</v>
      </c>
      <c r="E48" s="4">
        <v>0.48200000000000004</v>
      </c>
      <c r="F48" t="s">
        <v>1041</v>
      </c>
      <c r="H48">
        <f>IFERROR(_xlfn.XLOOKUP(Table1[[#This Row],[Marker]],Table2[Marker],Table2[ID]),-1)</f>
        <v>-1</v>
      </c>
      <c r="I48">
        <f>_xlfn.XLOOKUP(Table1[[#This Row],[Game]],Table14[Game],Table14[release_year])</f>
        <v>2024</v>
      </c>
    </row>
    <row r="49" spans="1:9" x14ac:dyDescent="0.3">
      <c r="A49" s="1">
        <v>47</v>
      </c>
      <c r="B49" t="s">
        <v>5</v>
      </c>
      <c r="C49" t="s">
        <v>62</v>
      </c>
      <c r="D49" t="s">
        <v>573</v>
      </c>
      <c r="E49" s="4">
        <v>0.48</v>
      </c>
      <c r="F49" t="s">
        <v>1041</v>
      </c>
      <c r="H49">
        <f>IFERROR(_xlfn.XLOOKUP(Table1[[#This Row],[Marker]],Table2[Marker],Table2[ID]),-1)</f>
        <v>-1</v>
      </c>
      <c r="I49">
        <f>_xlfn.XLOOKUP(Table1[[#This Row],[Game]],Table14[Game],Table14[release_year])</f>
        <v>2024</v>
      </c>
    </row>
    <row r="50" spans="1:9" x14ac:dyDescent="0.3">
      <c r="A50" s="1">
        <v>48</v>
      </c>
      <c r="B50" t="s">
        <v>5</v>
      </c>
      <c r="C50" t="s">
        <v>63</v>
      </c>
      <c r="D50" t="s">
        <v>574</v>
      </c>
      <c r="E50" s="4">
        <v>0.46600000000000003</v>
      </c>
      <c r="F50" t="s">
        <v>1041</v>
      </c>
      <c r="G50" t="s">
        <v>1276</v>
      </c>
      <c r="H50">
        <f>IFERROR(_xlfn.XLOOKUP(Table1[[#This Row],[Marker]],Table2[Marker],Table2[ID]),-1)</f>
        <v>5</v>
      </c>
      <c r="I50">
        <f>_xlfn.XLOOKUP(Table1[[#This Row],[Game]],Table14[Game],Table14[release_year])</f>
        <v>2024</v>
      </c>
    </row>
    <row r="51" spans="1:9" x14ac:dyDescent="0.3">
      <c r="A51" s="1">
        <v>49</v>
      </c>
      <c r="B51" t="s">
        <v>5</v>
      </c>
      <c r="C51" t="s">
        <v>64</v>
      </c>
      <c r="D51" t="s">
        <v>575</v>
      </c>
      <c r="E51" s="4">
        <v>0.46500000000000002</v>
      </c>
      <c r="F51" t="s">
        <v>1041</v>
      </c>
      <c r="H51">
        <f>IFERROR(_xlfn.XLOOKUP(Table1[[#This Row],[Marker]],Table2[Marker],Table2[ID]),-1)</f>
        <v>-1</v>
      </c>
      <c r="I51">
        <f>_xlfn.XLOOKUP(Table1[[#This Row],[Game]],Table14[Game],Table14[release_year])</f>
        <v>2024</v>
      </c>
    </row>
    <row r="52" spans="1:9" x14ac:dyDescent="0.3">
      <c r="A52" s="1">
        <v>50</v>
      </c>
      <c r="B52" t="s">
        <v>5</v>
      </c>
      <c r="C52" t="s">
        <v>65</v>
      </c>
      <c r="D52" t="s">
        <v>576</v>
      </c>
      <c r="E52" s="4">
        <v>0.46299999999999997</v>
      </c>
      <c r="F52" t="s">
        <v>1041</v>
      </c>
      <c r="H52">
        <f>IFERROR(_xlfn.XLOOKUP(Table1[[#This Row],[Marker]],Table2[Marker],Table2[ID]),-1)</f>
        <v>-1</v>
      </c>
      <c r="I52">
        <f>_xlfn.XLOOKUP(Table1[[#This Row],[Game]],Table14[Game],Table14[release_year])</f>
        <v>2024</v>
      </c>
    </row>
    <row r="53" spans="1:9" x14ac:dyDescent="0.3">
      <c r="A53" s="1">
        <v>51</v>
      </c>
      <c r="B53" t="s">
        <v>5</v>
      </c>
      <c r="C53" t="s">
        <v>66</v>
      </c>
      <c r="D53" t="s">
        <v>577</v>
      </c>
      <c r="E53" s="4">
        <v>0.46299999999999997</v>
      </c>
      <c r="F53" t="s">
        <v>1041</v>
      </c>
      <c r="H53">
        <f>IFERROR(_xlfn.XLOOKUP(Table1[[#This Row],[Marker]],Table2[Marker],Table2[ID]),-1)</f>
        <v>-1</v>
      </c>
      <c r="I53">
        <f>_xlfn.XLOOKUP(Table1[[#This Row],[Game]],Table14[Game],Table14[release_year])</f>
        <v>2024</v>
      </c>
    </row>
    <row r="54" spans="1:9" x14ac:dyDescent="0.3">
      <c r="A54" s="1">
        <v>52</v>
      </c>
      <c r="B54" t="s">
        <v>5</v>
      </c>
      <c r="C54" t="s">
        <v>67</v>
      </c>
      <c r="D54" t="s">
        <v>578</v>
      </c>
      <c r="E54" s="4">
        <v>0.46100000000000002</v>
      </c>
      <c r="F54" t="s">
        <v>1041</v>
      </c>
      <c r="H54">
        <f>IFERROR(_xlfn.XLOOKUP(Table1[[#This Row],[Marker]],Table2[Marker],Table2[ID]),-1)</f>
        <v>-1</v>
      </c>
      <c r="I54">
        <f>_xlfn.XLOOKUP(Table1[[#This Row],[Game]],Table14[Game],Table14[release_year])</f>
        <v>2024</v>
      </c>
    </row>
    <row r="55" spans="1:9" x14ac:dyDescent="0.3">
      <c r="A55" s="1">
        <v>53</v>
      </c>
      <c r="B55" t="s">
        <v>5</v>
      </c>
      <c r="C55" t="s">
        <v>68</v>
      </c>
      <c r="D55" t="s">
        <v>579</v>
      </c>
      <c r="E55" s="4">
        <v>0.45200000000000001</v>
      </c>
      <c r="F55" t="s">
        <v>1041</v>
      </c>
      <c r="H55">
        <f>IFERROR(_xlfn.XLOOKUP(Table1[[#This Row],[Marker]],Table2[Marker],Table2[ID]),-1)</f>
        <v>-1</v>
      </c>
      <c r="I55">
        <f>_xlfn.XLOOKUP(Table1[[#This Row],[Game]],Table14[Game],Table14[release_year])</f>
        <v>2024</v>
      </c>
    </row>
    <row r="56" spans="1:9" x14ac:dyDescent="0.3">
      <c r="A56" s="1">
        <v>54</v>
      </c>
      <c r="B56" t="s">
        <v>5</v>
      </c>
      <c r="C56" t="s">
        <v>69</v>
      </c>
      <c r="D56" t="s">
        <v>580</v>
      </c>
      <c r="E56" s="4">
        <v>0.442</v>
      </c>
      <c r="F56" t="s">
        <v>1041</v>
      </c>
      <c r="H56">
        <f>IFERROR(_xlfn.XLOOKUP(Table1[[#This Row],[Marker]],Table2[Marker],Table2[ID]),-1)</f>
        <v>-1</v>
      </c>
      <c r="I56">
        <f>_xlfn.XLOOKUP(Table1[[#This Row],[Game]],Table14[Game],Table14[release_year])</f>
        <v>2024</v>
      </c>
    </row>
    <row r="57" spans="1:9" x14ac:dyDescent="0.3">
      <c r="A57" s="1">
        <v>55</v>
      </c>
      <c r="B57" t="s">
        <v>5</v>
      </c>
      <c r="C57" t="s">
        <v>70</v>
      </c>
      <c r="D57" t="s">
        <v>581</v>
      </c>
      <c r="E57" s="4">
        <v>0.44</v>
      </c>
      <c r="F57" t="s">
        <v>1041</v>
      </c>
      <c r="H57">
        <f>IFERROR(_xlfn.XLOOKUP(Table1[[#This Row],[Marker]],Table2[Marker],Table2[ID]),-1)</f>
        <v>-1</v>
      </c>
      <c r="I57">
        <f>_xlfn.XLOOKUP(Table1[[#This Row],[Game]],Table14[Game],Table14[release_year])</f>
        <v>2024</v>
      </c>
    </row>
    <row r="58" spans="1:9" x14ac:dyDescent="0.3">
      <c r="A58" s="1">
        <v>56</v>
      </c>
      <c r="B58" t="s">
        <v>5</v>
      </c>
      <c r="C58" t="s">
        <v>71</v>
      </c>
      <c r="D58" t="s">
        <v>582</v>
      </c>
      <c r="E58" s="4">
        <v>0.439</v>
      </c>
      <c r="F58" t="s">
        <v>1041</v>
      </c>
      <c r="H58">
        <f>IFERROR(_xlfn.XLOOKUP(Table1[[#This Row],[Marker]],Table2[Marker],Table2[ID]),-1)</f>
        <v>-1</v>
      </c>
      <c r="I58">
        <f>_xlfn.XLOOKUP(Table1[[#This Row],[Game]],Table14[Game],Table14[release_year])</f>
        <v>2024</v>
      </c>
    </row>
    <row r="59" spans="1:9" x14ac:dyDescent="0.3">
      <c r="A59" s="1">
        <v>57</v>
      </c>
      <c r="B59" t="s">
        <v>5</v>
      </c>
      <c r="C59" t="s">
        <v>72</v>
      </c>
      <c r="D59" t="s">
        <v>583</v>
      </c>
      <c r="E59" s="4">
        <v>0.42100000000000004</v>
      </c>
      <c r="F59" t="s">
        <v>1041</v>
      </c>
      <c r="H59">
        <f>IFERROR(_xlfn.XLOOKUP(Table1[[#This Row],[Marker]],Table2[Marker],Table2[ID]),-1)</f>
        <v>-1</v>
      </c>
      <c r="I59">
        <f>_xlfn.XLOOKUP(Table1[[#This Row],[Game]],Table14[Game],Table14[release_year])</f>
        <v>2024</v>
      </c>
    </row>
    <row r="60" spans="1:9" x14ac:dyDescent="0.3">
      <c r="A60" s="1">
        <v>58</v>
      </c>
      <c r="B60" t="s">
        <v>5</v>
      </c>
      <c r="C60" t="s">
        <v>73</v>
      </c>
      <c r="D60" t="s">
        <v>584</v>
      </c>
      <c r="E60" s="4">
        <v>0.41100000000000003</v>
      </c>
      <c r="F60" t="s">
        <v>1041</v>
      </c>
      <c r="H60">
        <f>IFERROR(_xlfn.XLOOKUP(Table1[[#This Row],[Marker]],Table2[Marker],Table2[ID]),-1)</f>
        <v>-1</v>
      </c>
      <c r="I60">
        <f>_xlfn.XLOOKUP(Table1[[#This Row],[Game]],Table14[Game],Table14[release_year])</f>
        <v>2024</v>
      </c>
    </row>
    <row r="61" spans="1:9" x14ac:dyDescent="0.3">
      <c r="A61" s="1">
        <v>59</v>
      </c>
      <c r="B61" t="s">
        <v>5</v>
      </c>
      <c r="C61" t="s">
        <v>74</v>
      </c>
      <c r="D61" t="s">
        <v>585</v>
      </c>
      <c r="E61" s="4">
        <v>0.39700000000000002</v>
      </c>
      <c r="F61" t="s">
        <v>1041</v>
      </c>
      <c r="H61">
        <f>IFERROR(_xlfn.XLOOKUP(Table1[[#This Row],[Marker]],Table2[Marker],Table2[ID]),-1)</f>
        <v>-1</v>
      </c>
      <c r="I61">
        <f>_xlfn.XLOOKUP(Table1[[#This Row],[Game]],Table14[Game],Table14[release_year])</f>
        <v>2024</v>
      </c>
    </row>
    <row r="62" spans="1:9" x14ac:dyDescent="0.3">
      <c r="A62" s="1">
        <v>60</v>
      </c>
      <c r="B62" t="s">
        <v>5</v>
      </c>
      <c r="C62" t="s">
        <v>75</v>
      </c>
      <c r="D62" t="s">
        <v>586</v>
      </c>
      <c r="E62" s="4">
        <v>0.39600000000000002</v>
      </c>
      <c r="F62" t="s">
        <v>1041</v>
      </c>
      <c r="H62">
        <f>IFERROR(_xlfn.XLOOKUP(Table1[[#This Row],[Marker]],Table2[Marker],Table2[ID]),-1)</f>
        <v>-1</v>
      </c>
      <c r="I62">
        <f>_xlfn.XLOOKUP(Table1[[#This Row],[Game]],Table14[Game],Table14[release_year])</f>
        <v>2024</v>
      </c>
    </row>
    <row r="63" spans="1:9" x14ac:dyDescent="0.3">
      <c r="A63" s="1">
        <v>61</v>
      </c>
      <c r="B63" t="s">
        <v>5</v>
      </c>
      <c r="C63" t="s">
        <v>76</v>
      </c>
      <c r="D63" t="s">
        <v>587</v>
      </c>
      <c r="E63" s="4">
        <v>0.39100000000000001</v>
      </c>
      <c r="F63" t="s">
        <v>1041</v>
      </c>
      <c r="H63">
        <f>IFERROR(_xlfn.XLOOKUP(Table1[[#This Row],[Marker]],Table2[Marker],Table2[ID]),-1)</f>
        <v>-1</v>
      </c>
      <c r="I63">
        <f>_xlfn.XLOOKUP(Table1[[#This Row],[Game]],Table14[Game],Table14[release_year])</f>
        <v>2024</v>
      </c>
    </row>
    <row r="64" spans="1:9" x14ac:dyDescent="0.3">
      <c r="A64" s="1">
        <v>62</v>
      </c>
      <c r="B64" t="s">
        <v>5</v>
      </c>
      <c r="C64" t="s">
        <v>77</v>
      </c>
      <c r="D64" t="s">
        <v>588</v>
      </c>
      <c r="E64" s="4">
        <v>0.38799999999999996</v>
      </c>
      <c r="F64" t="s">
        <v>1041</v>
      </c>
      <c r="H64">
        <f>IFERROR(_xlfn.XLOOKUP(Table1[[#This Row],[Marker]],Table2[Marker],Table2[ID]),-1)</f>
        <v>-1</v>
      </c>
      <c r="I64">
        <f>_xlfn.XLOOKUP(Table1[[#This Row],[Game]],Table14[Game],Table14[release_year])</f>
        <v>2024</v>
      </c>
    </row>
    <row r="65" spans="1:9" x14ac:dyDescent="0.3">
      <c r="A65" s="1">
        <v>63</v>
      </c>
      <c r="B65" t="s">
        <v>5</v>
      </c>
      <c r="C65" t="s">
        <v>78</v>
      </c>
      <c r="D65" t="s">
        <v>589</v>
      </c>
      <c r="E65" s="4">
        <v>0.373</v>
      </c>
      <c r="F65" t="s">
        <v>1041</v>
      </c>
      <c r="H65">
        <f>IFERROR(_xlfn.XLOOKUP(Table1[[#This Row],[Marker]],Table2[Marker],Table2[ID]),-1)</f>
        <v>-1</v>
      </c>
      <c r="I65">
        <f>_xlfn.XLOOKUP(Table1[[#This Row],[Game]],Table14[Game],Table14[release_year])</f>
        <v>2024</v>
      </c>
    </row>
    <row r="66" spans="1:9" x14ac:dyDescent="0.3">
      <c r="A66" s="1">
        <v>64</v>
      </c>
      <c r="B66" t="s">
        <v>5</v>
      </c>
      <c r="C66" t="s">
        <v>79</v>
      </c>
      <c r="D66" t="s">
        <v>590</v>
      </c>
      <c r="E66" s="4">
        <v>0.36599999999999999</v>
      </c>
      <c r="F66" t="s">
        <v>1041</v>
      </c>
      <c r="H66">
        <f>IFERROR(_xlfn.XLOOKUP(Table1[[#This Row],[Marker]],Table2[Marker],Table2[ID]),-1)</f>
        <v>-1</v>
      </c>
      <c r="I66">
        <f>_xlfn.XLOOKUP(Table1[[#This Row],[Game]],Table14[Game],Table14[release_year])</f>
        <v>2024</v>
      </c>
    </row>
    <row r="67" spans="1:9" x14ac:dyDescent="0.3">
      <c r="A67" s="1">
        <v>65</v>
      </c>
      <c r="B67" t="s">
        <v>5</v>
      </c>
      <c r="C67" t="s">
        <v>80</v>
      </c>
      <c r="D67" t="s">
        <v>591</v>
      </c>
      <c r="E67" s="4">
        <v>0.35399999999999998</v>
      </c>
      <c r="F67" t="s">
        <v>1041</v>
      </c>
      <c r="H67">
        <f>IFERROR(_xlfn.XLOOKUP(Table1[[#This Row],[Marker]],Table2[Marker],Table2[ID]),-1)</f>
        <v>-1</v>
      </c>
      <c r="I67">
        <f>_xlfn.XLOOKUP(Table1[[#This Row],[Game]],Table14[Game],Table14[release_year])</f>
        <v>2024</v>
      </c>
    </row>
    <row r="68" spans="1:9" x14ac:dyDescent="0.3">
      <c r="A68" s="1">
        <v>66</v>
      </c>
      <c r="B68" t="s">
        <v>5</v>
      </c>
      <c r="C68" t="s">
        <v>81</v>
      </c>
      <c r="D68" t="s">
        <v>592</v>
      </c>
      <c r="E68" s="4">
        <v>0.32100000000000001</v>
      </c>
      <c r="F68" t="s">
        <v>1041</v>
      </c>
      <c r="H68">
        <f>IFERROR(_xlfn.XLOOKUP(Table1[[#This Row],[Marker]],Table2[Marker],Table2[ID]),-1)</f>
        <v>-1</v>
      </c>
      <c r="I68">
        <f>_xlfn.XLOOKUP(Table1[[#This Row],[Game]],Table14[Game],Table14[release_year])</f>
        <v>2024</v>
      </c>
    </row>
    <row r="69" spans="1:9" x14ac:dyDescent="0.3">
      <c r="A69" s="1">
        <v>67</v>
      </c>
      <c r="B69" t="s">
        <v>5</v>
      </c>
      <c r="C69" t="s">
        <v>82</v>
      </c>
      <c r="D69" t="s">
        <v>593</v>
      </c>
      <c r="E69" s="4">
        <v>0.318</v>
      </c>
      <c r="F69" t="s">
        <v>1041</v>
      </c>
      <c r="H69">
        <f>IFERROR(_xlfn.XLOOKUP(Table1[[#This Row],[Marker]],Table2[Marker],Table2[ID]),-1)</f>
        <v>-1</v>
      </c>
      <c r="I69">
        <f>_xlfn.XLOOKUP(Table1[[#This Row],[Game]],Table14[Game],Table14[release_year])</f>
        <v>2024</v>
      </c>
    </row>
    <row r="70" spans="1:9" x14ac:dyDescent="0.3">
      <c r="A70" s="1">
        <v>68</v>
      </c>
      <c r="B70" t="s">
        <v>5</v>
      </c>
      <c r="C70" t="s">
        <v>83</v>
      </c>
      <c r="D70" t="s">
        <v>594</v>
      </c>
      <c r="E70" s="4">
        <v>0.312</v>
      </c>
      <c r="F70" t="s">
        <v>1041</v>
      </c>
      <c r="H70">
        <f>IFERROR(_xlfn.XLOOKUP(Table1[[#This Row],[Marker]],Table2[Marker],Table2[ID]),-1)</f>
        <v>-1</v>
      </c>
      <c r="I70">
        <f>_xlfn.XLOOKUP(Table1[[#This Row],[Game]],Table14[Game],Table14[release_year])</f>
        <v>2024</v>
      </c>
    </row>
    <row r="71" spans="1:9" x14ac:dyDescent="0.3">
      <c r="A71" s="1">
        <v>69</v>
      </c>
      <c r="B71" t="s">
        <v>5</v>
      </c>
      <c r="C71" t="s">
        <v>84</v>
      </c>
      <c r="D71" t="s">
        <v>595</v>
      </c>
      <c r="E71" s="4">
        <v>0.3</v>
      </c>
      <c r="F71" t="s">
        <v>1041</v>
      </c>
      <c r="H71">
        <f>IFERROR(_xlfn.XLOOKUP(Table1[[#This Row],[Marker]],Table2[Marker],Table2[ID]),-1)</f>
        <v>-1</v>
      </c>
      <c r="I71">
        <f>_xlfn.XLOOKUP(Table1[[#This Row],[Game]],Table14[Game],Table14[release_year])</f>
        <v>2024</v>
      </c>
    </row>
    <row r="72" spans="1:9" x14ac:dyDescent="0.3">
      <c r="A72" s="1">
        <v>70</v>
      </c>
      <c r="B72" t="s">
        <v>5</v>
      </c>
      <c r="C72" t="s">
        <v>85</v>
      </c>
      <c r="D72" t="s">
        <v>596</v>
      </c>
      <c r="E72" s="4">
        <v>0.28999999999999998</v>
      </c>
      <c r="F72" t="s">
        <v>1041</v>
      </c>
      <c r="H72">
        <f>IFERROR(_xlfn.XLOOKUP(Table1[[#This Row],[Marker]],Table2[Marker],Table2[ID]),-1)</f>
        <v>-1</v>
      </c>
      <c r="I72">
        <f>_xlfn.XLOOKUP(Table1[[#This Row],[Game]],Table14[Game],Table14[release_year])</f>
        <v>2024</v>
      </c>
    </row>
    <row r="73" spans="1:9" x14ac:dyDescent="0.3">
      <c r="A73" s="1">
        <v>71</v>
      </c>
      <c r="B73" t="s">
        <v>5</v>
      </c>
      <c r="C73" t="s">
        <v>86</v>
      </c>
      <c r="D73" t="s">
        <v>597</v>
      </c>
      <c r="E73" s="4">
        <v>0.254</v>
      </c>
      <c r="F73" t="s">
        <v>1041</v>
      </c>
      <c r="H73">
        <f>IFERROR(_xlfn.XLOOKUP(Table1[[#This Row],[Marker]],Table2[Marker],Table2[ID]),-1)</f>
        <v>-1</v>
      </c>
      <c r="I73">
        <f>_xlfn.XLOOKUP(Table1[[#This Row],[Game]],Table14[Game],Table14[release_year])</f>
        <v>2024</v>
      </c>
    </row>
    <row r="74" spans="1:9" x14ac:dyDescent="0.3">
      <c r="A74" s="1">
        <v>72</v>
      </c>
      <c r="B74" t="s">
        <v>5</v>
      </c>
      <c r="C74" t="s">
        <v>87</v>
      </c>
      <c r="D74" t="s">
        <v>598</v>
      </c>
      <c r="E74" s="4">
        <v>0.22800000000000001</v>
      </c>
      <c r="F74" t="s">
        <v>1041</v>
      </c>
      <c r="H74">
        <f>IFERROR(_xlfn.XLOOKUP(Table1[[#This Row],[Marker]],Table2[Marker],Table2[ID]),-1)</f>
        <v>-1</v>
      </c>
      <c r="I74">
        <f>_xlfn.XLOOKUP(Table1[[#This Row],[Game]],Table14[Game],Table14[release_year])</f>
        <v>2024</v>
      </c>
    </row>
    <row r="75" spans="1:9" x14ac:dyDescent="0.3">
      <c r="A75" s="1">
        <v>73</v>
      </c>
      <c r="B75" t="s">
        <v>5</v>
      </c>
      <c r="C75" t="s">
        <v>88</v>
      </c>
      <c r="D75" t="s">
        <v>599</v>
      </c>
      <c r="E75" s="4">
        <v>0.21600000000000003</v>
      </c>
      <c r="F75" t="s">
        <v>1041</v>
      </c>
      <c r="H75">
        <f>IFERROR(_xlfn.XLOOKUP(Table1[[#This Row],[Marker]],Table2[Marker],Table2[ID]),-1)</f>
        <v>-1</v>
      </c>
      <c r="I75">
        <f>_xlfn.XLOOKUP(Table1[[#This Row],[Game]],Table14[Game],Table14[release_year])</f>
        <v>2024</v>
      </c>
    </row>
    <row r="76" spans="1:9" x14ac:dyDescent="0.3">
      <c r="A76" s="1">
        <v>74</v>
      </c>
      <c r="B76" t="s">
        <v>5</v>
      </c>
      <c r="C76" t="s">
        <v>89</v>
      </c>
      <c r="D76" t="s">
        <v>600</v>
      </c>
      <c r="E76" s="4">
        <v>0.184</v>
      </c>
      <c r="F76" t="s">
        <v>1041</v>
      </c>
      <c r="H76">
        <f>IFERROR(_xlfn.XLOOKUP(Table1[[#This Row],[Marker]],Table2[Marker],Table2[ID]),-1)</f>
        <v>-1</v>
      </c>
      <c r="I76">
        <f>_xlfn.XLOOKUP(Table1[[#This Row],[Game]],Table14[Game],Table14[release_year])</f>
        <v>2024</v>
      </c>
    </row>
    <row r="77" spans="1:9" x14ac:dyDescent="0.3">
      <c r="A77" s="1">
        <v>75</v>
      </c>
      <c r="B77" t="s">
        <v>5</v>
      </c>
      <c r="C77" t="s">
        <v>90</v>
      </c>
      <c r="D77" t="s">
        <v>601</v>
      </c>
      <c r="E77" s="4">
        <v>0.17499999999999999</v>
      </c>
      <c r="F77" t="s">
        <v>1041</v>
      </c>
      <c r="H77">
        <f>IFERROR(_xlfn.XLOOKUP(Table1[[#This Row],[Marker]],Table2[Marker],Table2[ID]),-1)</f>
        <v>-1</v>
      </c>
      <c r="I77">
        <f>_xlfn.XLOOKUP(Table1[[#This Row],[Game]],Table14[Game],Table14[release_year])</f>
        <v>2024</v>
      </c>
    </row>
    <row r="78" spans="1:9" x14ac:dyDescent="0.3">
      <c r="A78" s="1">
        <v>76</v>
      </c>
      <c r="B78" t="s">
        <v>5</v>
      </c>
      <c r="C78" t="s">
        <v>91</v>
      </c>
      <c r="D78" t="s">
        <v>602</v>
      </c>
      <c r="E78" s="4">
        <v>0.16200000000000001</v>
      </c>
      <c r="F78" t="s">
        <v>1041</v>
      </c>
      <c r="H78">
        <f>IFERROR(_xlfn.XLOOKUP(Table1[[#This Row],[Marker]],Table2[Marker],Table2[ID]),-1)</f>
        <v>-1</v>
      </c>
      <c r="I78">
        <f>_xlfn.XLOOKUP(Table1[[#This Row],[Game]],Table14[Game],Table14[release_year])</f>
        <v>2024</v>
      </c>
    </row>
    <row r="79" spans="1:9" x14ac:dyDescent="0.3">
      <c r="A79" s="1">
        <v>77</v>
      </c>
      <c r="B79" t="s">
        <v>5</v>
      </c>
      <c r="C79" t="s">
        <v>92</v>
      </c>
      <c r="D79" t="s">
        <v>603</v>
      </c>
      <c r="E79" s="4">
        <v>0.154</v>
      </c>
      <c r="F79" t="s">
        <v>1041</v>
      </c>
      <c r="H79">
        <f>IFERROR(_xlfn.XLOOKUP(Table1[[#This Row],[Marker]],Table2[Marker],Table2[ID]),-1)</f>
        <v>-1</v>
      </c>
      <c r="I79">
        <f>_xlfn.XLOOKUP(Table1[[#This Row],[Game]],Table14[Game],Table14[release_year])</f>
        <v>2024</v>
      </c>
    </row>
    <row r="80" spans="1:9" x14ac:dyDescent="0.3">
      <c r="A80" s="1">
        <v>78</v>
      </c>
      <c r="B80" t="s">
        <v>5</v>
      </c>
      <c r="C80" t="s">
        <v>93</v>
      </c>
      <c r="D80" t="s">
        <v>604</v>
      </c>
      <c r="E80" s="4">
        <v>0.14199999999999999</v>
      </c>
      <c r="F80" t="s">
        <v>1041</v>
      </c>
      <c r="H80">
        <f>IFERROR(_xlfn.XLOOKUP(Table1[[#This Row],[Marker]],Table2[Marker],Table2[ID]),-1)</f>
        <v>-1</v>
      </c>
      <c r="I80">
        <f>_xlfn.XLOOKUP(Table1[[#This Row],[Game]],Table14[Game],Table14[release_year])</f>
        <v>2024</v>
      </c>
    </row>
    <row r="81" spans="1:9" x14ac:dyDescent="0.3">
      <c r="A81" s="1">
        <v>79</v>
      </c>
      <c r="B81" t="s">
        <v>5</v>
      </c>
      <c r="C81" t="s">
        <v>94</v>
      </c>
      <c r="D81" t="s">
        <v>605</v>
      </c>
      <c r="E81" s="4">
        <v>0.14000000000000001</v>
      </c>
      <c r="F81" t="s">
        <v>1041</v>
      </c>
      <c r="H81">
        <f>IFERROR(_xlfn.XLOOKUP(Table1[[#This Row],[Marker]],Table2[Marker],Table2[ID]),-1)</f>
        <v>-1</v>
      </c>
      <c r="I81">
        <f>_xlfn.XLOOKUP(Table1[[#This Row],[Game]],Table14[Game],Table14[release_year])</f>
        <v>2024</v>
      </c>
    </row>
    <row r="82" spans="1:9" x14ac:dyDescent="0.3">
      <c r="A82" s="1">
        <v>80</v>
      </c>
      <c r="B82" t="s">
        <v>5</v>
      </c>
      <c r="C82" t="s">
        <v>95</v>
      </c>
      <c r="D82" t="s">
        <v>606</v>
      </c>
      <c r="E82" s="4">
        <v>0.126</v>
      </c>
      <c r="F82" t="s">
        <v>1041</v>
      </c>
      <c r="H82">
        <f>IFERROR(_xlfn.XLOOKUP(Table1[[#This Row],[Marker]],Table2[Marker],Table2[ID]),-1)</f>
        <v>-1</v>
      </c>
      <c r="I82">
        <f>_xlfn.XLOOKUP(Table1[[#This Row],[Game]],Table14[Game],Table14[release_year])</f>
        <v>2024</v>
      </c>
    </row>
    <row r="83" spans="1:9" x14ac:dyDescent="0.3">
      <c r="A83" s="1">
        <v>0</v>
      </c>
      <c r="B83" t="s">
        <v>1059</v>
      </c>
      <c r="C83" t="s">
        <v>1060</v>
      </c>
      <c r="D83" t="s">
        <v>1061</v>
      </c>
      <c r="E83" s="4">
        <v>0.88099999999999989</v>
      </c>
      <c r="F83" s="2" t="s">
        <v>1062</v>
      </c>
      <c r="G83" t="s">
        <v>1272</v>
      </c>
      <c r="H83">
        <f>IFERROR(_xlfn.XLOOKUP(Table1[[#This Row],[Marker]],Table2[Marker],Table2[ID]),-1)</f>
        <v>1</v>
      </c>
      <c r="I83">
        <f>_xlfn.XLOOKUP(Table1[[#This Row],[Game]],Table14[Game],Table14[release_year])</f>
        <v>2025</v>
      </c>
    </row>
    <row r="84" spans="1:9" x14ac:dyDescent="0.3">
      <c r="A84" s="1">
        <v>1</v>
      </c>
      <c r="B84" t="s">
        <v>1059</v>
      </c>
      <c r="C84" t="s">
        <v>1063</v>
      </c>
      <c r="D84" t="s">
        <v>1064</v>
      </c>
      <c r="E84" s="4">
        <v>0.84499999999999997</v>
      </c>
      <c r="F84" s="2" t="s">
        <v>1065</v>
      </c>
      <c r="H84">
        <f>IFERROR(_xlfn.XLOOKUP(Table1[[#This Row],[Marker]],Table2[Marker],Table2[ID]),-1)</f>
        <v>-1</v>
      </c>
      <c r="I84">
        <f>_xlfn.XLOOKUP(Table1[[#This Row],[Game]],Table14[Game],Table14[release_year])</f>
        <v>2025</v>
      </c>
    </row>
    <row r="85" spans="1:9" x14ac:dyDescent="0.3">
      <c r="A85" s="1">
        <v>2</v>
      </c>
      <c r="B85" t="s">
        <v>1059</v>
      </c>
      <c r="C85" t="s">
        <v>1066</v>
      </c>
      <c r="D85" t="s">
        <v>1067</v>
      </c>
      <c r="E85" s="4">
        <v>0.81299999999999994</v>
      </c>
      <c r="F85" t="s">
        <v>1041</v>
      </c>
      <c r="H85">
        <f>IFERROR(_xlfn.XLOOKUP(Table1[[#This Row],[Marker]],Table2[Marker],Table2[ID]),-1)</f>
        <v>-1</v>
      </c>
      <c r="I85">
        <f>_xlfn.XLOOKUP(Table1[[#This Row],[Game]],Table14[Game],Table14[release_year])</f>
        <v>2025</v>
      </c>
    </row>
    <row r="86" spans="1:9" x14ac:dyDescent="0.3">
      <c r="A86" s="1">
        <v>3</v>
      </c>
      <c r="B86" t="s">
        <v>1059</v>
      </c>
      <c r="C86" t="s">
        <v>1068</v>
      </c>
      <c r="D86" t="s">
        <v>1069</v>
      </c>
      <c r="E86" s="4">
        <v>0.81299999999999994</v>
      </c>
      <c r="F86" t="s">
        <v>1041</v>
      </c>
      <c r="G86" t="s">
        <v>1273</v>
      </c>
      <c r="H86">
        <f>IFERROR(_xlfn.XLOOKUP(Table1[[#This Row],[Marker]],Table2[Marker],Table2[ID]),-1)</f>
        <v>2</v>
      </c>
      <c r="I86">
        <f>_xlfn.XLOOKUP(Table1[[#This Row],[Game]],Table14[Game],Table14[release_year])</f>
        <v>2025</v>
      </c>
    </row>
    <row r="87" spans="1:9" x14ac:dyDescent="0.3">
      <c r="A87" s="1">
        <v>4</v>
      </c>
      <c r="B87" t="s">
        <v>1059</v>
      </c>
      <c r="C87" t="s">
        <v>1070</v>
      </c>
      <c r="D87" t="s">
        <v>1071</v>
      </c>
      <c r="E87" s="4">
        <v>0.76400000000000001</v>
      </c>
      <c r="F87" t="s">
        <v>1041</v>
      </c>
      <c r="H87">
        <f>IFERROR(_xlfn.XLOOKUP(Table1[[#This Row],[Marker]],Table2[Marker],Table2[ID]),-1)</f>
        <v>-1</v>
      </c>
      <c r="I87">
        <f>_xlfn.XLOOKUP(Table1[[#This Row],[Game]],Table14[Game],Table14[release_year])</f>
        <v>2025</v>
      </c>
    </row>
    <row r="88" spans="1:9" x14ac:dyDescent="0.3">
      <c r="A88" s="1">
        <v>5</v>
      </c>
      <c r="B88" t="s">
        <v>1059</v>
      </c>
      <c r="C88" t="s">
        <v>1072</v>
      </c>
      <c r="D88" t="s">
        <v>1073</v>
      </c>
      <c r="E88" s="4">
        <v>0.74199999999999999</v>
      </c>
      <c r="F88" t="s">
        <v>1041</v>
      </c>
      <c r="H88">
        <f>IFERROR(_xlfn.XLOOKUP(Table1[[#This Row],[Marker]],Table2[Marker],Table2[ID]),-1)</f>
        <v>-1</v>
      </c>
      <c r="I88">
        <f>_xlfn.XLOOKUP(Table1[[#This Row],[Game]],Table14[Game],Table14[release_year])</f>
        <v>2025</v>
      </c>
    </row>
    <row r="89" spans="1:9" x14ac:dyDescent="0.3">
      <c r="A89" s="1">
        <v>6</v>
      </c>
      <c r="B89" t="s">
        <v>1059</v>
      </c>
      <c r="C89" t="s">
        <v>1074</v>
      </c>
      <c r="D89" t="s">
        <v>1075</v>
      </c>
      <c r="E89" s="4">
        <v>0.72299999999999998</v>
      </c>
      <c r="F89" t="s">
        <v>1041</v>
      </c>
      <c r="H89">
        <f>IFERROR(_xlfn.XLOOKUP(Table1[[#This Row],[Marker]],Table2[Marker],Table2[ID]),-1)</f>
        <v>-1</v>
      </c>
      <c r="I89">
        <f>_xlfn.XLOOKUP(Table1[[#This Row],[Game]],Table14[Game],Table14[release_year])</f>
        <v>2025</v>
      </c>
    </row>
    <row r="90" spans="1:9" x14ac:dyDescent="0.3">
      <c r="A90" s="1">
        <v>7</v>
      </c>
      <c r="B90" t="s">
        <v>1059</v>
      </c>
      <c r="C90" t="s">
        <v>1076</v>
      </c>
      <c r="D90" t="s">
        <v>1077</v>
      </c>
      <c r="E90" s="4">
        <v>0.71700000000000008</v>
      </c>
      <c r="F90" t="s">
        <v>1041</v>
      </c>
      <c r="H90">
        <f>IFERROR(_xlfn.XLOOKUP(Table1[[#This Row],[Marker]],Table2[Marker],Table2[ID]),-1)</f>
        <v>-1</v>
      </c>
      <c r="I90">
        <f>_xlfn.XLOOKUP(Table1[[#This Row],[Game]],Table14[Game],Table14[release_year])</f>
        <v>2025</v>
      </c>
    </row>
    <row r="91" spans="1:9" x14ac:dyDescent="0.3">
      <c r="A91" s="1">
        <v>8</v>
      </c>
      <c r="B91" t="s">
        <v>1059</v>
      </c>
      <c r="C91" t="s">
        <v>1078</v>
      </c>
      <c r="D91" t="s">
        <v>1079</v>
      </c>
      <c r="E91" s="4">
        <v>0.71099999999999997</v>
      </c>
      <c r="F91" t="s">
        <v>1041</v>
      </c>
      <c r="H91">
        <f>IFERROR(_xlfn.XLOOKUP(Table1[[#This Row],[Marker]],Table2[Marker],Table2[ID]),-1)</f>
        <v>-1</v>
      </c>
      <c r="I91">
        <f>_xlfn.XLOOKUP(Table1[[#This Row],[Game]],Table14[Game],Table14[release_year])</f>
        <v>2025</v>
      </c>
    </row>
    <row r="92" spans="1:9" x14ac:dyDescent="0.3">
      <c r="A92" s="1">
        <v>9</v>
      </c>
      <c r="B92" t="s">
        <v>1059</v>
      </c>
      <c r="C92" t="s">
        <v>1080</v>
      </c>
      <c r="D92" t="s">
        <v>1081</v>
      </c>
      <c r="E92" s="4">
        <v>0.70799999999999996</v>
      </c>
      <c r="F92" t="s">
        <v>1041</v>
      </c>
      <c r="H92">
        <f>IFERROR(_xlfn.XLOOKUP(Table1[[#This Row],[Marker]],Table2[Marker],Table2[ID]),-1)</f>
        <v>-1</v>
      </c>
      <c r="I92">
        <f>_xlfn.XLOOKUP(Table1[[#This Row],[Game]],Table14[Game],Table14[release_year])</f>
        <v>2025</v>
      </c>
    </row>
    <row r="93" spans="1:9" x14ac:dyDescent="0.3">
      <c r="A93" s="1">
        <v>10</v>
      </c>
      <c r="B93" t="s">
        <v>1059</v>
      </c>
      <c r="C93" t="s">
        <v>1082</v>
      </c>
      <c r="D93" t="s">
        <v>1083</v>
      </c>
      <c r="E93" s="4">
        <v>0.68599999999999994</v>
      </c>
      <c r="F93" t="s">
        <v>1041</v>
      </c>
      <c r="H93">
        <f>IFERROR(_xlfn.XLOOKUP(Table1[[#This Row],[Marker]],Table2[Marker],Table2[ID]),-1)</f>
        <v>-1</v>
      </c>
      <c r="I93">
        <f>_xlfn.XLOOKUP(Table1[[#This Row],[Game]],Table14[Game],Table14[release_year])</f>
        <v>2025</v>
      </c>
    </row>
    <row r="94" spans="1:9" x14ac:dyDescent="0.3">
      <c r="A94" s="1">
        <v>11</v>
      </c>
      <c r="B94" t="s">
        <v>1059</v>
      </c>
      <c r="C94" t="s">
        <v>1084</v>
      </c>
      <c r="D94" t="s">
        <v>1085</v>
      </c>
      <c r="E94" s="4">
        <v>0.67200000000000004</v>
      </c>
      <c r="F94" t="s">
        <v>1041</v>
      </c>
      <c r="H94">
        <f>IFERROR(_xlfn.XLOOKUP(Table1[[#This Row],[Marker]],Table2[Marker],Table2[ID]),-1)</f>
        <v>-1</v>
      </c>
      <c r="I94">
        <f>_xlfn.XLOOKUP(Table1[[#This Row],[Game]],Table14[Game],Table14[release_year])</f>
        <v>2025</v>
      </c>
    </row>
    <row r="95" spans="1:9" x14ac:dyDescent="0.3">
      <c r="A95" s="1">
        <v>12</v>
      </c>
      <c r="B95" t="s">
        <v>1059</v>
      </c>
      <c r="C95" t="s">
        <v>1086</v>
      </c>
      <c r="D95" t="s">
        <v>1087</v>
      </c>
      <c r="E95" s="4">
        <v>0.67200000000000004</v>
      </c>
      <c r="F95" t="s">
        <v>1041</v>
      </c>
      <c r="H95">
        <f>IFERROR(_xlfn.XLOOKUP(Table1[[#This Row],[Marker]],Table2[Marker],Table2[ID]),-1)</f>
        <v>-1</v>
      </c>
      <c r="I95">
        <f>_xlfn.XLOOKUP(Table1[[#This Row],[Game]],Table14[Game],Table14[release_year])</f>
        <v>2025</v>
      </c>
    </row>
    <row r="96" spans="1:9" x14ac:dyDescent="0.3">
      <c r="A96" s="1">
        <v>13</v>
      </c>
      <c r="B96" t="s">
        <v>1059</v>
      </c>
      <c r="C96" t="s">
        <v>1088</v>
      </c>
      <c r="D96" t="s">
        <v>1089</v>
      </c>
      <c r="E96" s="4">
        <v>0.626</v>
      </c>
      <c r="F96" t="s">
        <v>1041</v>
      </c>
      <c r="G96" t="s">
        <v>1274</v>
      </c>
      <c r="H96">
        <f>IFERROR(_xlfn.XLOOKUP(Table1[[#This Row],[Marker]],Table2[Marker],Table2[ID]),-1)</f>
        <v>3</v>
      </c>
      <c r="I96">
        <f>_xlfn.XLOOKUP(Table1[[#This Row],[Game]],Table14[Game],Table14[release_year])</f>
        <v>2025</v>
      </c>
    </row>
    <row r="97" spans="1:9" x14ac:dyDescent="0.3">
      <c r="A97" s="1">
        <v>14</v>
      </c>
      <c r="B97" t="s">
        <v>1059</v>
      </c>
      <c r="C97" t="s">
        <v>1090</v>
      </c>
      <c r="D97" t="s">
        <v>1091</v>
      </c>
      <c r="E97" s="4">
        <v>0.58899999999999997</v>
      </c>
      <c r="F97" t="s">
        <v>1041</v>
      </c>
      <c r="H97">
        <f>IFERROR(_xlfn.XLOOKUP(Table1[[#This Row],[Marker]],Table2[Marker],Table2[ID]),-1)</f>
        <v>-1</v>
      </c>
      <c r="I97">
        <f>_xlfn.XLOOKUP(Table1[[#This Row],[Game]],Table14[Game],Table14[release_year])</f>
        <v>2025</v>
      </c>
    </row>
    <row r="98" spans="1:9" x14ac:dyDescent="0.3">
      <c r="A98" s="1">
        <v>15</v>
      </c>
      <c r="B98" t="s">
        <v>1059</v>
      </c>
      <c r="C98" t="s">
        <v>1092</v>
      </c>
      <c r="D98" t="s">
        <v>1093</v>
      </c>
      <c r="E98" s="4">
        <v>0.57799999999999996</v>
      </c>
      <c r="F98" t="s">
        <v>1041</v>
      </c>
      <c r="H98">
        <f>IFERROR(_xlfn.XLOOKUP(Table1[[#This Row],[Marker]],Table2[Marker],Table2[ID]),-1)</f>
        <v>-1</v>
      </c>
      <c r="I98">
        <f>_xlfn.XLOOKUP(Table1[[#This Row],[Game]],Table14[Game],Table14[release_year])</f>
        <v>2025</v>
      </c>
    </row>
    <row r="99" spans="1:9" x14ac:dyDescent="0.3">
      <c r="A99" s="1">
        <v>16</v>
      </c>
      <c r="B99" t="s">
        <v>1059</v>
      </c>
      <c r="C99" t="s">
        <v>1094</v>
      </c>
      <c r="D99" t="s">
        <v>1095</v>
      </c>
      <c r="E99" s="4">
        <v>0.57799999999999996</v>
      </c>
      <c r="F99" t="s">
        <v>1041</v>
      </c>
      <c r="H99">
        <f>IFERROR(_xlfn.XLOOKUP(Table1[[#This Row],[Marker]],Table2[Marker],Table2[ID]),-1)</f>
        <v>-1</v>
      </c>
      <c r="I99">
        <f>_xlfn.XLOOKUP(Table1[[#This Row],[Game]],Table14[Game],Table14[release_year])</f>
        <v>2025</v>
      </c>
    </row>
    <row r="100" spans="1:9" x14ac:dyDescent="0.3">
      <c r="A100" s="1">
        <v>17</v>
      </c>
      <c r="B100" t="s">
        <v>1059</v>
      </c>
      <c r="C100" t="s">
        <v>1096</v>
      </c>
      <c r="D100" t="s">
        <v>1097</v>
      </c>
      <c r="E100" s="4">
        <v>0.56700000000000006</v>
      </c>
      <c r="F100" t="s">
        <v>1041</v>
      </c>
      <c r="H100">
        <f>IFERROR(_xlfn.XLOOKUP(Table1[[#This Row],[Marker]],Table2[Marker],Table2[ID]),-1)</f>
        <v>-1</v>
      </c>
      <c r="I100">
        <f>_xlfn.XLOOKUP(Table1[[#This Row],[Game]],Table14[Game],Table14[release_year])</f>
        <v>2025</v>
      </c>
    </row>
    <row r="101" spans="1:9" x14ac:dyDescent="0.3">
      <c r="A101" s="1">
        <v>18</v>
      </c>
      <c r="B101" t="s">
        <v>1059</v>
      </c>
      <c r="C101" t="s">
        <v>1098</v>
      </c>
      <c r="D101" t="s">
        <v>1099</v>
      </c>
      <c r="E101" s="4">
        <v>0.55500000000000005</v>
      </c>
      <c r="F101" t="s">
        <v>1041</v>
      </c>
      <c r="H101">
        <f>IFERROR(_xlfn.XLOOKUP(Table1[[#This Row],[Marker]],Table2[Marker],Table2[ID]),-1)</f>
        <v>-1</v>
      </c>
      <c r="I101">
        <f>_xlfn.XLOOKUP(Table1[[#This Row],[Game]],Table14[Game],Table14[release_year])</f>
        <v>2025</v>
      </c>
    </row>
    <row r="102" spans="1:9" x14ac:dyDescent="0.3">
      <c r="A102" s="1">
        <v>19</v>
      </c>
      <c r="B102" t="s">
        <v>1059</v>
      </c>
      <c r="C102" t="s">
        <v>1100</v>
      </c>
      <c r="D102" t="s">
        <v>1101</v>
      </c>
      <c r="E102" s="4">
        <v>0.54799999999999993</v>
      </c>
      <c r="F102" t="s">
        <v>1041</v>
      </c>
      <c r="H102">
        <f>IFERROR(_xlfn.XLOOKUP(Table1[[#This Row],[Marker]],Table2[Marker],Table2[ID]),-1)</f>
        <v>-1</v>
      </c>
      <c r="I102">
        <f>_xlfn.XLOOKUP(Table1[[#This Row],[Game]],Table14[Game],Table14[release_year])</f>
        <v>2025</v>
      </c>
    </row>
    <row r="103" spans="1:9" x14ac:dyDescent="0.3">
      <c r="A103" s="1">
        <v>20</v>
      </c>
      <c r="B103" t="s">
        <v>1059</v>
      </c>
      <c r="C103" t="s">
        <v>1102</v>
      </c>
      <c r="D103" t="s">
        <v>1103</v>
      </c>
      <c r="E103" s="4">
        <v>0.52900000000000003</v>
      </c>
      <c r="F103" t="s">
        <v>1041</v>
      </c>
      <c r="H103">
        <f>IFERROR(_xlfn.XLOOKUP(Table1[[#This Row],[Marker]],Table2[Marker],Table2[ID]),-1)</f>
        <v>-1</v>
      </c>
      <c r="I103">
        <f>_xlfn.XLOOKUP(Table1[[#This Row],[Game]],Table14[Game],Table14[release_year])</f>
        <v>2025</v>
      </c>
    </row>
    <row r="104" spans="1:9" x14ac:dyDescent="0.3">
      <c r="A104" s="1">
        <v>21</v>
      </c>
      <c r="B104" t="s">
        <v>1059</v>
      </c>
      <c r="C104" t="s">
        <v>1104</v>
      </c>
      <c r="D104" t="s">
        <v>1105</v>
      </c>
      <c r="E104" s="4">
        <v>0.51400000000000001</v>
      </c>
      <c r="F104" t="s">
        <v>1041</v>
      </c>
      <c r="H104">
        <f>IFERROR(_xlfn.XLOOKUP(Table1[[#This Row],[Marker]],Table2[Marker],Table2[ID]),-1)</f>
        <v>-1</v>
      </c>
      <c r="I104">
        <f>_xlfn.XLOOKUP(Table1[[#This Row],[Game]],Table14[Game],Table14[release_year])</f>
        <v>2025</v>
      </c>
    </row>
    <row r="105" spans="1:9" x14ac:dyDescent="0.3">
      <c r="A105" s="1">
        <v>22</v>
      </c>
      <c r="B105" t="s">
        <v>1059</v>
      </c>
      <c r="C105" t="s">
        <v>1106</v>
      </c>
      <c r="D105" t="s">
        <v>1107</v>
      </c>
      <c r="E105" s="4">
        <v>0.51400000000000001</v>
      </c>
      <c r="F105" t="s">
        <v>1041</v>
      </c>
      <c r="H105">
        <f>IFERROR(_xlfn.XLOOKUP(Table1[[#This Row],[Marker]],Table2[Marker],Table2[ID]),-1)</f>
        <v>-1</v>
      </c>
      <c r="I105">
        <f>_xlfn.XLOOKUP(Table1[[#This Row],[Game]],Table14[Game],Table14[release_year])</f>
        <v>2025</v>
      </c>
    </row>
    <row r="106" spans="1:9" x14ac:dyDescent="0.3">
      <c r="A106" s="1">
        <v>23</v>
      </c>
      <c r="B106" t="s">
        <v>1059</v>
      </c>
      <c r="C106" t="s">
        <v>1108</v>
      </c>
      <c r="D106" t="s">
        <v>1109</v>
      </c>
      <c r="E106" s="4">
        <v>0.50800000000000001</v>
      </c>
      <c r="F106" t="s">
        <v>1041</v>
      </c>
      <c r="H106">
        <f>IFERROR(_xlfn.XLOOKUP(Table1[[#This Row],[Marker]],Table2[Marker],Table2[ID]),-1)</f>
        <v>-1</v>
      </c>
      <c r="I106">
        <f>_xlfn.XLOOKUP(Table1[[#This Row],[Game]],Table14[Game],Table14[release_year])</f>
        <v>2025</v>
      </c>
    </row>
    <row r="107" spans="1:9" x14ac:dyDescent="0.3">
      <c r="A107" s="1">
        <v>24</v>
      </c>
      <c r="B107" t="s">
        <v>1059</v>
      </c>
      <c r="C107" t="s">
        <v>1110</v>
      </c>
      <c r="D107" t="s">
        <v>1111</v>
      </c>
      <c r="E107" s="4">
        <v>0.50700000000000001</v>
      </c>
      <c r="F107" t="s">
        <v>1041</v>
      </c>
      <c r="H107">
        <f>IFERROR(_xlfn.XLOOKUP(Table1[[#This Row],[Marker]],Table2[Marker],Table2[ID]),-1)</f>
        <v>-1</v>
      </c>
      <c r="I107">
        <f>_xlfn.XLOOKUP(Table1[[#This Row],[Game]],Table14[Game],Table14[release_year])</f>
        <v>2025</v>
      </c>
    </row>
    <row r="108" spans="1:9" x14ac:dyDescent="0.3">
      <c r="A108" s="1">
        <v>25</v>
      </c>
      <c r="B108" t="s">
        <v>1059</v>
      </c>
      <c r="C108" t="s">
        <v>1112</v>
      </c>
      <c r="D108" t="s">
        <v>1113</v>
      </c>
      <c r="E108" s="4">
        <v>0.48200000000000004</v>
      </c>
      <c r="F108" t="s">
        <v>1041</v>
      </c>
      <c r="G108" t="s">
        <v>1275</v>
      </c>
      <c r="H108">
        <f>IFERROR(_xlfn.XLOOKUP(Table1[[#This Row],[Marker]],Table2[Marker],Table2[ID]),-1)</f>
        <v>4</v>
      </c>
      <c r="I108">
        <f>_xlfn.XLOOKUP(Table1[[#This Row],[Game]],Table14[Game],Table14[release_year])</f>
        <v>2025</v>
      </c>
    </row>
    <row r="109" spans="1:9" x14ac:dyDescent="0.3">
      <c r="A109" s="1">
        <v>26</v>
      </c>
      <c r="B109" t="s">
        <v>1059</v>
      </c>
      <c r="C109" t="s">
        <v>1114</v>
      </c>
      <c r="D109" t="s">
        <v>1115</v>
      </c>
      <c r="E109" s="4">
        <v>0.47799999999999998</v>
      </c>
      <c r="F109" t="s">
        <v>1041</v>
      </c>
      <c r="H109">
        <f>IFERROR(_xlfn.XLOOKUP(Table1[[#This Row],[Marker]],Table2[Marker],Table2[ID]),-1)</f>
        <v>-1</v>
      </c>
      <c r="I109">
        <f>_xlfn.XLOOKUP(Table1[[#This Row],[Game]],Table14[Game],Table14[release_year])</f>
        <v>2025</v>
      </c>
    </row>
    <row r="110" spans="1:9" x14ac:dyDescent="0.3">
      <c r="A110" s="1">
        <v>27</v>
      </c>
      <c r="B110" t="s">
        <v>1059</v>
      </c>
      <c r="C110" t="s">
        <v>1116</v>
      </c>
      <c r="D110" t="s">
        <v>1117</v>
      </c>
      <c r="E110" s="4">
        <v>0.45100000000000001</v>
      </c>
      <c r="F110" t="s">
        <v>1041</v>
      </c>
      <c r="H110">
        <f>IFERROR(_xlfn.XLOOKUP(Table1[[#This Row],[Marker]],Table2[Marker],Table2[ID]),-1)</f>
        <v>-1</v>
      </c>
      <c r="I110">
        <f>_xlfn.XLOOKUP(Table1[[#This Row],[Game]],Table14[Game],Table14[release_year])</f>
        <v>2025</v>
      </c>
    </row>
    <row r="111" spans="1:9" x14ac:dyDescent="0.3">
      <c r="A111" s="1">
        <v>28</v>
      </c>
      <c r="B111" t="s">
        <v>1059</v>
      </c>
      <c r="C111" t="s">
        <v>1118</v>
      </c>
      <c r="D111" t="s">
        <v>1119</v>
      </c>
      <c r="E111" s="4">
        <v>0.442</v>
      </c>
      <c r="F111" t="s">
        <v>1041</v>
      </c>
      <c r="H111">
        <f>IFERROR(_xlfn.XLOOKUP(Table1[[#This Row],[Marker]],Table2[Marker],Table2[ID]),-1)</f>
        <v>-1</v>
      </c>
      <c r="I111">
        <f>_xlfn.XLOOKUP(Table1[[#This Row],[Game]],Table14[Game],Table14[release_year])</f>
        <v>2025</v>
      </c>
    </row>
    <row r="112" spans="1:9" x14ac:dyDescent="0.3">
      <c r="A112" s="1">
        <v>29</v>
      </c>
      <c r="B112" t="s">
        <v>1059</v>
      </c>
      <c r="C112" t="s">
        <v>1120</v>
      </c>
      <c r="D112" t="s">
        <v>1121</v>
      </c>
      <c r="E112" s="4">
        <v>0.39700000000000002</v>
      </c>
      <c r="F112" t="s">
        <v>1041</v>
      </c>
      <c r="G112" t="s">
        <v>1276</v>
      </c>
      <c r="H112">
        <f>IFERROR(_xlfn.XLOOKUP(Table1[[#This Row],[Marker]],Table2[Marker],Table2[ID]),-1)</f>
        <v>5</v>
      </c>
      <c r="I112">
        <f>_xlfn.XLOOKUP(Table1[[#This Row],[Game]],Table14[Game],Table14[release_year])</f>
        <v>2025</v>
      </c>
    </row>
    <row r="113" spans="1:9" x14ac:dyDescent="0.3">
      <c r="A113" s="1">
        <v>30</v>
      </c>
      <c r="B113" t="s">
        <v>1059</v>
      </c>
      <c r="C113" t="s">
        <v>1122</v>
      </c>
      <c r="D113" t="s">
        <v>1123</v>
      </c>
      <c r="E113" s="4">
        <v>0.35299999999999998</v>
      </c>
      <c r="F113" t="s">
        <v>1041</v>
      </c>
      <c r="H113">
        <f>IFERROR(_xlfn.XLOOKUP(Table1[[#This Row],[Marker]],Table2[Marker],Table2[ID]),-1)</f>
        <v>-1</v>
      </c>
      <c r="I113">
        <f>_xlfn.XLOOKUP(Table1[[#This Row],[Game]],Table14[Game],Table14[release_year])</f>
        <v>2025</v>
      </c>
    </row>
    <row r="114" spans="1:9" x14ac:dyDescent="0.3">
      <c r="A114" s="1">
        <v>31</v>
      </c>
      <c r="B114" t="s">
        <v>1059</v>
      </c>
      <c r="C114" t="s">
        <v>1124</v>
      </c>
      <c r="D114" t="s">
        <v>1125</v>
      </c>
      <c r="E114" s="4">
        <v>0.34499999999999997</v>
      </c>
      <c r="F114" t="s">
        <v>1041</v>
      </c>
      <c r="H114">
        <f>IFERROR(_xlfn.XLOOKUP(Table1[[#This Row],[Marker]],Table2[Marker],Table2[ID]),-1)</f>
        <v>-1</v>
      </c>
      <c r="I114">
        <f>_xlfn.XLOOKUP(Table1[[#This Row],[Game]],Table14[Game],Table14[release_year])</f>
        <v>2025</v>
      </c>
    </row>
    <row r="115" spans="1:9" x14ac:dyDescent="0.3">
      <c r="A115" s="1">
        <v>32</v>
      </c>
      <c r="B115" t="s">
        <v>1059</v>
      </c>
      <c r="C115" t="s">
        <v>1126</v>
      </c>
      <c r="D115" t="s">
        <v>1127</v>
      </c>
      <c r="E115" s="4">
        <v>0.33500000000000002</v>
      </c>
      <c r="F115" t="s">
        <v>1041</v>
      </c>
      <c r="H115">
        <f>IFERROR(_xlfn.XLOOKUP(Table1[[#This Row],[Marker]],Table2[Marker],Table2[ID]),-1)</f>
        <v>-1</v>
      </c>
      <c r="I115">
        <f>_xlfn.XLOOKUP(Table1[[#This Row],[Game]],Table14[Game],Table14[release_year])</f>
        <v>2025</v>
      </c>
    </row>
    <row r="116" spans="1:9" x14ac:dyDescent="0.3">
      <c r="A116" s="1">
        <v>33</v>
      </c>
      <c r="B116" t="s">
        <v>1059</v>
      </c>
      <c r="C116" t="s">
        <v>1128</v>
      </c>
      <c r="D116" t="s">
        <v>1129</v>
      </c>
      <c r="E116" s="4">
        <v>0.33</v>
      </c>
      <c r="F116" t="s">
        <v>1041</v>
      </c>
      <c r="H116">
        <f>IFERROR(_xlfn.XLOOKUP(Table1[[#This Row],[Marker]],Table2[Marker],Table2[ID]),-1)</f>
        <v>-1</v>
      </c>
      <c r="I116">
        <f>_xlfn.XLOOKUP(Table1[[#This Row],[Game]],Table14[Game],Table14[release_year])</f>
        <v>2025</v>
      </c>
    </row>
    <row r="117" spans="1:9" x14ac:dyDescent="0.3">
      <c r="A117" s="1">
        <v>34</v>
      </c>
      <c r="B117" t="s">
        <v>1059</v>
      </c>
      <c r="C117" t="s">
        <v>1130</v>
      </c>
      <c r="D117" t="s">
        <v>1131</v>
      </c>
      <c r="E117" s="4">
        <v>0.32799999999999996</v>
      </c>
      <c r="F117" t="s">
        <v>1041</v>
      </c>
      <c r="H117">
        <f>IFERROR(_xlfn.XLOOKUP(Table1[[#This Row],[Marker]],Table2[Marker],Table2[ID]),-1)</f>
        <v>-1</v>
      </c>
      <c r="I117">
        <f>_xlfn.XLOOKUP(Table1[[#This Row],[Game]],Table14[Game],Table14[release_year])</f>
        <v>2025</v>
      </c>
    </row>
    <row r="118" spans="1:9" x14ac:dyDescent="0.3">
      <c r="A118" s="1">
        <v>35</v>
      </c>
      <c r="B118" t="s">
        <v>1059</v>
      </c>
      <c r="C118" t="s">
        <v>1132</v>
      </c>
      <c r="D118" t="s">
        <v>1133</v>
      </c>
      <c r="E118" s="4">
        <v>0.318</v>
      </c>
      <c r="F118" t="s">
        <v>1041</v>
      </c>
      <c r="H118">
        <f>IFERROR(_xlfn.XLOOKUP(Table1[[#This Row],[Marker]],Table2[Marker],Table2[ID]),-1)</f>
        <v>-1</v>
      </c>
      <c r="I118">
        <f>_xlfn.XLOOKUP(Table1[[#This Row],[Game]],Table14[Game],Table14[release_year])</f>
        <v>2025</v>
      </c>
    </row>
    <row r="119" spans="1:9" x14ac:dyDescent="0.3">
      <c r="A119" s="1">
        <v>36</v>
      </c>
      <c r="B119" t="s">
        <v>1059</v>
      </c>
      <c r="C119" t="s">
        <v>1134</v>
      </c>
      <c r="D119" t="s">
        <v>1135</v>
      </c>
      <c r="E119" s="4">
        <v>0.314</v>
      </c>
      <c r="F119" t="s">
        <v>1041</v>
      </c>
      <c r="H119">
        <f>IFERROR(_xlfn.XLOOKUP(Table1[[#This Row],[Marker]],Table2[Marker],Table2[ID]),-1)</f>
        <v>-1</v>
      </c>
      <c r="I119">
        <f>_xlfn.XLOOKUP(Table1[[#This Row],[Game]],Table14[Game],Table14[release_year])</f>
        <v>2025</v>
      </c>
    </row>
    <row r="120" spans="1:9" x14ac:dyDescent="0.3">
      <c r="A120" s="1">
        <v>37</v>
      </c>
      <c r="B120" t="s">
        <v>1059</v>
      </c>
      <c r="C120" t="s">
        <v>1136</v>
      </c>
      <c r="D120" t="s">
        <v>1137</v>
      </c>
      <c r="E120" s="4">
        <v>0.308</v>
      </c>
      <c r="F120" t="s">
        <v>1041</v>
      </c>
      <c r="H120">
        <f>IFERROR(_xlfn.XLOOKUP(Table1[[#This Row],[Marker]],Table2[Marker],Table2[ID]),-1)</f>
        <v>-1</v>
      </c>
      <c r="I120">
        <f>_xlfn.XLOOKUP(Table1[[#This Row],[Game]],Table14[Game],Table14[release_year])</f>
        <v>2025</v>
      </c>
    </row>
    <row r="121" spans="1:9" x14ac:dyDescent="0.3">
      <c r="A121" s="1">
        <v>38</v>
      </c>
      <c r="B121" t="s">
        <v>1059</v>
      </c>
      <c r="C121" t="s">
        <v>1138</v>
      </c>
      <c r="D121" t="s">
        <v>1139</v>
      </c>
      <c r="E121" s="4">
        <v>0.28999999999999998</v>
      </c>
      <c r="F121" t="s">
        <v>1041</v>
      </c>
      <c r="H121">
        <f>IFERROR(_xlfn.XLOOKUP(Table1[[#This Row],[Marker]],Table2[Marker],Table2[ID]),-1)</f>
        <v>-1</v>
      </c>
      <c r="I121">
        <f>_xlfn.XLOOKUP(Table1[[#This Row],[Game]],Table14[Game],Table14[release_year])</f>
        <v>2025</v>
      </c>
    </row>
    <row r="122" spans="1:9" x14ac:dyDescent="0.3">
      <c r="A122" s="1">
        <v>39</v>
      </c>
      <c r="B122" t="s">
        <v>1059</v>
      </c>
      <c r="C122" t="s">
        <v>1140</v>
      </c>
      <c r="D122" t="s">
        <v>1141</v>
      </c>
      <c r="E122" s="4">
        <v>0.28399999999999997</v>
      </c>
      <c r="F122" t="s">
        <v>1041</v>
      </c>
      <c r="H122">
        <f>IFERROR(_xlfn.XLOOKUP(Table1[[#This Row],[Marker]],Table2[Marker],Table2[ID]),-1)</f>
        <v>-1</v>
      </c>
      <c r="I122">
        <f>_xlfn.XLOOKUP(Table1[[#This Row],[Game]],Table14[Game],Table14[release_year])</f>
        <v>2025</v>
      </c>
    </row>
    <row r="123" spans="1:9" x14ac:dyDescent="0.3">
      <c r="A123" s="1">
        <v>40</v>
      </c>
      <c r="B123" t="s">
        <v>1059</v>
      </c>
      <c r="C123" t="s">
        <v>1142</v>
      </c>
      <c r="D123" t="s">
        <v>1143</v>
      </c>
      <c r="E123" s="4">
        <v>0.28300000000000003</v>
      </c>
      <c r="F123" t="s">
        <v>1041</v>
      </c>
      <c r="H123">
        <f>IFERROR(_xlfn.XLOOKUP(Table1[[#This Row],[Marker]],Table2[Marker],Table2[ID]),-1)</f>
        <v>-1</v>
      </c>
      <c r="I123">
        <f>_xlfn.XLOOKUP(Table1[[#This Row],[Game]],Table14[Game],Table14[release_year])</f>
        <v>2025</v>
      </c>
    </row>
    <row r="124" spans="1:9" x14ac:dyDescent="0.3">
      <c r="A124" s="1">
        <v>41</v>
      </c>
      <c r="B124" t="s">
        <v>1059</v>
      </c>
      <c r="C124" t="s">
        <v>1144</v>
      </c>
      <c r="D124" t="s">
        <v>1145</v>
      </c>
      <c r="E124" s="4">
        <v>0.25600000000000001</v>
      </c>
      <c r="F124" t="s">
        <v>1041</v>
      </c>
      <c r="H124">
        <f>IFERROR(_xlfn.XLOOKUP(Table1[[#This Row],[Marker]],Table2[Marker],Table2[ID]),-1)</f>
        <v>-1</v>
      </c>
      <c r="I124">
        <f>_xlfn.XLOOKUP(Table1[[#This Row],[Game]],Table14[Game],Table14[release_year])</f>
        <v>2025</v>
      </c>
    </row>
    <row r="125" spans="1:9" x14ac:dyDescent="0.3">
      <c r="A125" s="1">
        <v>42</v>
      </c>
      <c r="B125" t="s">
        <v>1059</v>
      </c>
      <c r="C125" t="s">
        <v>1146</v>
      </c>
      <c r="D125" t="s">
        <v>1147</v>
      </c>
      <c r="E125" s="4">
        <v>0.25600000000000001</v>
      </c>
      <c r="F125" t="s">
        <v>1041</v>
      </c>
      <c r="H125">
        <f>IFERROR(_xlfn.XLOOKUP(Table1[[#This Row],[Marker]],Table2[Marker],Table2[ID]),-1)</f>
        <v>-1</v>
      </c>
      <c r="I125">
        <f>_xlfn.XLOOKUP(Table1[[#This Row],[Game]],Table14[Game],Table14[release_year])</f>
        <v>2025</v>
      </c>
    </row>
    <row r="126" spans="1:9" x14ac:dyDescent="0.3">
      <c r="A126" s="1">
        <v>43</v>
      </c>
      <c r="B126" t="s">
        <v>1059</v>
      </c>
      <c r="C126" t="s">
        <v>1148</v>
      </c>
      <c r="D126" t="s">
        <v>1149</v>
      </c>
      <c r="E126" s="4">
        <v>0.21299999999999999</v>
      </c>
      <c r="F126" t="s">
        <v>1041</v>
      </c>
      <c r="H126">
        <f>IFERROR(_xlfn.XLOOKUP(Table1[[#This Row],[Marker]],Table2[Marker],Table2[ID]),-1)</f>
        <v>-1</v>
      </c>
      <c r="I126">
        <f>_xlfn.XLOOKUP(Table1[[#This Row],[Game]],Table14[Game],Table14[release_year])</f>
        <v>2025</v>
      </c>
    </row>
    <row r="127" spans="1:9" x14ac:dyDescent="0.3">
      <c r="A127" s="1">
        <v>44</v>
      </c>
      <c r="B127" t="s">
        <v>1059</v>
      </c>
      <c r="C127" t="s">
        <v>1150</v>
      </c>
      <c r="D127" t="s">
        <v>1151</v>
      </c>
      <c r="E127" s="4">
        <v>0.20800000000000002</v>
      </c>
      <c r="F127" t="s">
        <v>1041</v>
      </c>
      <c r="H127">
        <f>IFERROR(_xlfn.XLOOKUP(Table1[[#This Row],[Marker]],Table2[Marker],Table2[ID]),-1)</f>
        <v>-1</v>
      </c>
      <c r="I127">
        <f>_xlfn.XLOOKUP(Table1[[#This Row],[Game]],Table14[Game],Table14[release_year])</f>
        <v>2025</v>
      </c>
    </row>
    <row r="128" spans="1:9" x14ac:dyDescent="0.3">
      <c r="A128" s="1">
        <v>45</v>
      </c>
      <c r="B128" t="s">
        <v>1059</v>
      </c>
      <c r="C128" t="s">
        <v>1152</v>
      </c>
      <c r="D128" t="s">
        <v>1153</v>
      </c>
      <c r="E128" s="4">
        <v>0.19500000000000001</v>
      </c>
      <c r="F128" t="s">
        <v>1041</v>
      </c>
      <c r="H128">
        <f>IFERROR(_xlfn.XLOOKUP(Table1[[#This Row],[Marker]],Table2[Marker],Table2[ID]),-1)</f>
        <v>-1</v>
      </c>
      <c r="I128">
        <f>_xlfn.XLOOKUP(Table1[[#This Row],[Game]],Table14[Game],Table14[release_year])</f>
        <v>2025</v>
      </c>
    </row>
    <row r="129" spans="1:9" x14ac:dyDescent="0.3">
      <c r="A129" s="1">
        <v>46</v>
      </c>
      <c r="B129" t="s">
        <v>1059</v>
      </c>
      <c r="C129" t="s">
        <v>1154</v>
      </c>
      <c r="D129" t="s">
        <v>1155</v>
      </c>
      <c r="E129" s="4">
        <v>0.19</v>
      </c>
      <c r="F129" t="s">
        <v>1041</v>
      </c>
      <c r="H129">
        <f>IFERROR(_xlfn.XLOOKUP(Table1[[#This Row],[Marker]],Table2[Marker],Table2[ID]),-1)</f>
        <v>-1</v>
      </c>
      <c r="I129">
        <f>_xlfn.XLOOKUP(Table1[[#This Row],[Game]],Table14[Game],Table14[release_year])</f>
        <v>2025</v>
      </c>
    </row>
    <row r="130" spans="1:9" x14ac:dyDescent="0.3">
      <c r="A130" s="1">
        <v>47</v>
      </c>
      <c r="B130" t="s">
        <v>1059</v>
      </c>
      <c r="C130" t="s">
        <v>1156</v>
      </c>
      <c r="D130" t="s">
        <v>1157</v>
      </c>
      <c r="E130" s="4">
        <v>0.16</v>
      </c>
      <c r="F130" t="s">
        <v>1041</v>
      </c>
      <c r="H130">
        <f>IFERROR(_xlfn.XLOOKUP(Table1[[#This Row],[Marker]],Table2[Marker],Table2[ID]),-1)</f>
        <v>-1</v>
      </c>
      <c r="I130">
        <f>_xlfn.XLOOKUP(Table1[[#This Row],[Game]],Table14[Game],Table14[release_year])</f>
        <v>2025</v>
      </c>
    </row>
    <row r="131" spans="1:9" x14ac:dyDescent="0.3">
      <c r="A131" s="1">
        <v>48</v>
      </c>
      <c r="B131" t="s">
        <v>1059</v>
      </c>
      <c r="C131" t="s">
        <v>1158</v>
      </c>
      <c r="D131" t="s">
        <v>1159</v>
      </c>
      <c r="E131" s="4">
        <v>0.155</v>
      </c>
      <c r="F131" t="s">
        <v>1041</v>
      </c>
      <c r="H131">
        <f>IFERROR(_xlfn.XLOOKUP(Table1[[#This Row],[Marker]],Table2[Marker],Table2[ID]),-1)</f>
        <v>-1</v>
      </c>
      <c r="I131">
        <f>_xlfn.XLOOKUP(Table1[[#This Row],[Game]],Table14[Game],Table14[release_year])</f>
        <v>2025</v>
      </c>
    </row>
    <row r="132" spans="1:9" x14ac:dyDescent="0.3">
      <c r="A132" s="1">
        <v>49</v>
      </c>
      <c r="B132" t="s">
        <v>1059</v>
      </c>
      <c r="C132" t="s">
        <v>1160</v>
      </c>
      <c r="D132" t="s">
        <v>1161</v>
      </c>
      <c r="E132" s="4">
        <v>0.152</v>
      </c>
      <c r="F132" t="s">
        <v>1041</v>
      </c>
      <c r="H132">
        <f>IFERROR(_xlfn.XLOOKUP(Table1[[#This Row],[Marker]],Table2[Marker],Table2[ID]),-1)</f>
        <v>-1</v>
      </c>
      <c r="I132">
        <f>_xlfn.XLOOKUP(Table1[[#This Row],[Game]],Table14[Game],Table14[release_year])</f>
        <v>2025</v>
      </c>
    </row>
    <row r="133" spans="1:9" x14ac:dyDescent="0.3">
      <c r="A133" s="1">
        <v>50</v>
      </c>
      <c r="B133" t="s">
        <v>1059</v>
      </c>
      <c r="C133" t="s">
        <v>1162</v>
      </c>
      <c r="D133" t="s">
        <v>1163</v>
      </c>
      <c r="E133" s="4">
        <v>0.15</v>
      </c>
      <c r="F133" t="s">
        <v>1041</v>
      </c>
      <c r="H133">
        <f>IFERROR(_xlfn.XLOOKUP(Table1[[#This Row],[Marker]],Table2[Marker],Table2[ID]),-1)</f>
        <v>-1</v>
      </c>
      <c r="I133">
        <f>_xlfn.XLOOKUP(Table1[[#This Row],[Game]],Table14[Game],Table14[release_year])</f>
        <v>2025</v>
      </c>
    </row>
    <row r="134" spans="1:9" x14ac:dyDescent="0.3">
      <c r="A134" s="1">
        <v>51</v>
      </c>
      <c r="B134" t="s">
        <v>1059</v>
      </c>
      <c r="C134" t="s">
        <v>1164</v>
      </c>
      <c r="D134" t="s">
        <v>1165</v>
      </c>
      <c r="E134" s="4">
        <v>0.13500000000000001</v>
      </c>
      <c r="F134" t="s">
        <v>1041</v>
      </c>
      <c r="H134">
        <f>IFERROR(_xlfn.XLOOKUP(Table1[[#This Row],[Marker]],Table2[Marker],Table2[ID]),-1)</f>
        <v>-1</v>
      </c>
      <c r="I134">
        <f>_xlfn.XLOOKUP(Table1[[#This Row],[Game]],Table14[Game],Table14[release_year])</f>
        <v>2025</v>
      </c>
    </row>
    <row r="135" spans="1:9" x14ac:dyDescent="0.3">
      <c r="A135" s="1">
        <v>52</v>
      </c>
      <c r="B135" t="s">
        <v>1059</v>
      </c>
      <c r="C135" t="s">
        <v>1166</v>
      </c>
      <c r="D135" t="s">
        <v>1167</v>
      </c>
      <c r="E135" s="4">
        <v>0.129</v>
      </c>
      <c r="F135" t="s">
        <v>1041</v>
      </c>
      <c r="H135">
        <f>IFERROR(_xlfn.XLOOKUP(Table1[[#This Row],[Marker]],Table2[Marker],Table2[ID]),-1)</f>
        <v>-1</v>
      </c>
      <c r="I135">
        <f>_xlfn.XLOOKUP(Table1[[#This Row],[Game]],Table14[Game],Table14[release_year])</f>
        <v>2025</v>
      </c>
    </row>
    <row r="136" spans="1:9" x14ac:dyDescent="0.3">
      <c r="A136" s="1">
        <v>53</v>
      </c>
      <c r="B136" t="s">
        <v>1059</v>
      </c>
      <c r="C136" t="s">
        <v>1168</v>
      </c>
      <c r="D136" t="s">
        <v>1169</v>
      </c>
      <c r="E136" s="4">
        <v>0.10199999999999999</v>
      </c>
      <c r="F136" t="s">
        <v>1041</v>
      </c>
      <c r="H136">
        <f>IFERROR(_xlfn.XLOOKUP(Table1[[#This Row],[Marker]],Table2[Marker],Table2[ID]),-1)</f>
        <v>-1</v>
      </c>
      <c r="I136">
        <f>_xlfn.XLOOKUP(Table1[[#This Row],[Game]],Table14[Game],Table14[release_year])</f>
        <v>2025</v>
      </c>
    </row>
    <row r="137" spans="1:9" x14ac:dyDescent="0.3">
      <c r="A137" s="1">
        <v>54</v>
      </c>
      <c r="B137" t="s">
        <v>1059</v>
      </c>
      <c r="C137" t="s">
        <v>1170</v>
      </c>
      <c r="D137" t="s">
        <v>1171</v>
      </c>
      <c r="E137" s="4">
        <v>0.10099999999999999</v>
      </c>
      <c r="F137" t="s">
        <v>1041</v>
      </c>
      <c r="H137">
        <f>IFERROR(_xlfn.XLOOKUP(Table1[[#This Row],[Marker]],Table2[Marker],Table2[ID]),-1)</f>
        <v>-1</v>
      </c>
      <c r="I137">
        <f>_xlfn.XLOOKUP(Table1[[#This Row],[Game]],Table14[Game],Table14[release_year])</f>
        <v>2025</v>
      </c>
    </row>
    <row r="138" spans="1:9" x14ac:dyDescent="0.3">
      <c r="A138" s="1">
        <v>0</v>
      </c>
      <c r="B138" t="s">
        <v>1181</v>
      </c>
      <c r="C138" t="s">
        <v>1182</v>
      </c>
      <c r="D138" t="s">
        <v>1183</v>
      </c>
      <c r="E138" s="4">
        <v>0.7659999999999999</v>
      </c>
      <c r="F138" s="2" t="s">
        <v>1184</v>
      </c>
      <c r="G138" t="s">
        <v>1273</v>
      </c>
      <c r="H138">
        <f>IFERROR(_xlfn.XLOOKUP(Table1[[#This Row],[Marker]],Table2[Marker],Table2[ID]),-1)</f>
        <v>2</v>
      </c>
      <c r="I138">
        <f>_xlfn.XLOOKUP(Table1[[#This Row],[Game]],Table14[Game],Table14[release_year])</f>
        <v>2017</v>
      </c>
    </row>
    <row r="139" spans="1:9" x14ac:dyDescent="0.3">
      <c r="A139" s="1">
        <v>1</v>
      </c>
      <c r="B139" t="s">
        <v>1181</v>
      </c>
      <c r="C139" t="s">
        <v>1185</v>
      </c>
      <c r="D139" t="s">
        <v>1186</v>
      </c>
      <c r="E139" s="4">
        <v>0.75099999999999989</v>
      </c>
      <c r="F139" s="2" t="s">
        <v>1187</v>
      </c>
      <c r="H139">
        <f>IFERROR(_xlfn.XLOOKUP(Table1[[#This Row],[Marker]],Table2[Marker],Table2[ID]),-1)</f>
        <v>-1</v>
      </c>
      <c r="I139">
        <f>_xlfn.XLOOKUP(Table1[[#This Row],[Game]],Table14[Game],Table14[release_year])</f>
        <v>2017</v>
      </c>
    </row>
    <row r="140" spans="1:9" x14ac:dyDescent="0.3">
      <c r="A140" s="1">
        <v>2</v>
      </c>
      <c r="B140" t="s">
        <v>1181</v>
      </c>
      <c r="C140" t="s">
        <v>1188</v>
      </c>
      <c r="D140" t="s">
        <v>1189</v>
      </c>
      <c r="E140" s="4">
        <v>0.59</v>
      </c>
      <c r="F140" t="s">
        <v>1041</v>
      </c>
      <c r="H140">
        <f>IFERROR(_xlfn.XLOOKUP(Table1[[#This Row],[Marker]],Table2[Marker],Table2[ID]),-1)</f>
        <v>-1</v>
      </c>
      <c r="I140">
        <f>_xlfn.XLOOKUP(Table1[[#This Row],[Game]],Table14[Game],Table14[release_year])</f>
        <v>2017</v>
      </c>
    </row>
    <row r="141" spans="1:9" x14ac:dyDescent="0.3">
      <c r="A141" s="1">
        <v>3</v>
      </c>
      <c r="B141" t="s">
        <v>1181</v>
      </c>
      <c r="C141" t="s">
        <v>1190</v>
      </c>
      <c r="D141" t="s">
        <v>1191</v>
      </c>
      <c r="E141" s="4">
        <v>0.54500000000000004</v>
      </c>
      <c r="F141" t="s">
        <v>1041</v>
      </c>
      <c r="H141">
        <f>IFERROR(_xlfn.XLOOKUP(Table1[[#This Row],[Marker]],Table2[Marker],Table2[ID]),-1)</f>
        <v>-1</v>
      </c>
      <c r="I141">
        <f>_xlfn.XLOOKUP(Table1[[#This Row],[Game]],Table14[Game],Table14[release_year])</f>
        <v>2017</v>
      </c>
    </row>
    <row r="142" spans="1:9" x14ac:dyDescent="0.3">
      <c r="A142" s="1">
        <v>4</v>
      </c>
      <c r="B142" t="s">
        <v>1181</v>
      </c>
      <c r="C142" t="s">
        <v>1192</v>
      </c>
      <c r="D142" t="s">
        <v>1193</v>
      </c>
      <c r="E142" s="4">
        <v>0.53299999999999992</v>
      </c>
      <c r="F142" t="s">
        <v>1041</v>
      </c>
      <c r="G142" t="s">
        <v>1274</v>
      </c>
      <c r="H142">
        <f>IFERROR(_xlfn.XLOOKUP(Table1[[#This Row],[Marker]],Table2[Marker],Table2[ID]),-1)</f>
        <v>3</v>
      </c>
      <c r="I142">
        <f>_xlfn.XLOOKUP(Table1[[#This Row],[Game]],Table14[Game],Table14[release_year])</f>
        <v>2017</v>
      </c>
    </row>
    <row r="143" spans="1:9" x14ac:dyDescent="0.3">
      <c r="A143" s="1">
        <v>5</v>
      </c>
      <c r="B143" t="s">
        <v>1181</v>
      </c>
      <c r="C143" t="s">
        <v>1194</v>
      </c>
      <c r="D143" t="s">
        <v>1195</v>
      </c>
      <c r="E143" s="4">
        <v>0.45700000000000002</v>
      </c>
      <c r="F143" t="s">
        <v>1041</v>
      </c>
      <c r="H143">
        <f>IFERROR(_xlfn.XLOOKUP(Table1[[#This Row],[Marker]],Table2[Marker],Table2[ID]),-1)</f>
        <v>-1</v>
      </c>
      <c r="I143">
        <f>_xlfn.XLOOKUP(Table1[[#This Row],[Game]],Table14[Game],Table14[release_year])</f>
        <v>2017</v>
      </c>
    </row>
    <row r="144" spans="1:9" x14ac:dyDescent="0.3">
      <c r="A144" s="1">
        <v>6</v>
      </c>
      <c r="B144" t="s">
        <v>1181</v>
      </c>
      <c r="C144" t="s">
        <v>1196</v>
      </c>
      <c r="D144" t="s">
        <v>1197</v>
      </c>
      <c r="E144" s="4">
        <v>0.41</v>
      </c>
      <c r="F144" t="s">
        <v>1041</v>
      </c>
      <c r="H144">
        <f>IFERROR(_xlfn.XLOOKUP(Table1[[#This Row],[Marker]],Table2[Marker],Table2[ID]),-1)</f>
        <v>-1</v>
      </c>
      <c r="I144">
        <f>_xlfn.XLOOKUP(Table1[[#This Row],[Game]],Table14[Game],Table14[release_year])</f>
        <v>2017</v>
      </c>
    </row>
    <row r="145" spans="1:9" x14ac:dyDescent="0.3">
      <c r="A145" s="1">
        <v>7</v>
      </c>
      <c r="B145" t="s">
        <v>1181</v>
      </c>
      <c r="C145" t="s">
        <v>1198</v>
      </c>
      <c r="D145" t="s">
        <v>1199</v>
      </c>
      <c r="E145" s="4">
        <v>0.313</v>
      </c>
      <c r="F145" t="s">
        <v>1041</v>
      </c>
      <c r="G145" t="s">
        <v>1275</v>
      </c>
      <c r="H145">
        <f>IFERROR(_xlfn.XLOOKUP(Table1[[#This Row],[Marker]],Table2[Marker],Table2[ID]),-1)</f>
        <v>4</v>
      </c>
      <c r="I145">
        <f>_xlfn.XLOOKUP(Table1[[#This Row],[Game]],Table14[Game],Table14[release_year])</f>
        <v>2017</v>
      </c>
    </row>
    <row r="146" spans="1:9" x14ac:dyDescent="0.3">
      <c r="A146" s="1">
        <v>8</v>
      </c>
      <c r="B146" t="s">
        <v>1181</v>
      </c>
      <c r="C146" t="s">
        <v>1200</v>
      </c>
      <c r="D146" t="s">
        <v>1201</v>
      </c>
      <c r="E146" s="4">
        <v>0.28199999999999997</v>
      </c>
      <c r="F146" t="s">
        <v>1041</v>
      </c>
      <c r="H146">
        <f>IFERROR(_xlfn.XLOOKUP(Table1[[#This Row],[Marker]],Table2[Marker],Table2[ID]),-1)</f>
        <v>-1</v>
      </c>
      <c r="I146">
        <f>_xlfn.XLOOKUP(Table1[[#This Row],[Game]],Table14[Game],Table14[release_year])</f>
        <v>2017</v>
      </c>
    </row>
    <row r="147" spans="1:9" x14ac:dyDescent="0.3">
      <c r="A147" s="1">
        <v>9</v>
      </c>
      <c r="B147" t="s">
        <v>1181</v>
      </c>
      <c r="C147" t="s">
        <v>1202</v>
      </c>
      <c r="D147" t="s">
        <v>1203</v>
      </c>
      <c r="E147" s="4">
        <v>0.24099999999999999</v>
      </c>
      <c r="F147" t="s">
        <v>1041</v>
      </c>
      <c r="H147">
        <f>IFERROR(_xlfn.XLOOKUP(Table1[[#This Row],[Marker]],Table2[Marker],Table2[ID]),-1)</f>
        <v>-1</v>
      </c>
      <c r="I147">
        <f>_xlfn.XLOOKUP(Table1[[#This Row],[Game]],Table14[Game],Table14[release_year])</f>
        <v>2017</v>
      </c>
    </row>
    <row r="148" spans="1:9" x14ac:dyDescent="0.3">
      <c r="A148" s="1">
        <v>10</v>
      </c>
      <c r="B148" t="s">
        <v>1181</v>
      </c>
      <c r="C148" t="s">
        <v>1204</v>
      </c>
      <c r="D148" t="s">
        <v>1205</v>
      </c>
      <c r="E148" s="4">
        <v>0.219</v>
      </c>
      <c r="F148" t="s">
        <v>1041</v>
      </c>
      <c r="H148">
        <f>IFERROR(_xlfn.XLOOKUP(Table1[[#This Row],[Marker]],Table2[Marker],Table2[ID]),-1)</f>
        <v>-1</v>
      </c>
      <c r="I148">
        <f>_xlfn.XLOOKUP(Table1[[#This Row],[Game]],Table14[Game],Table14[release_year])</f>
        <v>2017</v>
      </c>
    </row>
    <row r="149" spans="1:9" x14ac:dyDescent="0.3">
      <c r="A149" s="1">
        <v>11</v>
      </c>
      <c r="B149" t="s">
        <v>1181</v>
      </c>
      <c r="C149" t="s">
        <v>1206</v>
      </c>
      <c r="D149" t="s">
        <v>1207</v>
      </c>
      <c r="E149" s="4">
        <v>0.215</v>
      </c>
      <c r="F149" t="s">
        <v>1041</v>
      </c>
      <c r="H149">
        <f>IFERROR(_xlfn.XLOOKUP(Table1[[#This Row],[Marker]],Table2[Marker],Table2[ID]),-1)</f>
        <v>-1</v>
      </c>
      <c r="I149">
        <f>_xlfn.XLOOKUP(Table1[[#This Row],[Game]],Table14[Game],Table14[release_year])</f>
        <v>2017</v>
      </c>
    </row>
    <row r="150" spans="1:9" x14ac:dyDescent="0.3">
      <c r="A150" s="1">
        <v>12</v>
      </c>
      <c r="B150" t="s">
        <v>1181</v>
      </c>
      <c r="C150" t="s">
        <v>1208</v>
      </c>
      <c r="D150" t="s">
        <v>1209</v>
      </c>
      <c r="E150" s="4">
        <v>0.184</v>
      </c>
      <c r="F150" t="s">
        <v>1041</v>
      </c>
      <c r="H150">
        <f>IFERROR(_xlfn.XLOOKUP(Table1[[#This Row],[Marker]],Table2[Marker],Table2[ID]),-1)</f>
        <v>-1</v>
      </c>
      <c r="I150">
        <f>_xlfn.XLOOKUP(Table1[[#This Row],[Game]],Table14[Game],Table14[release_year])</f>
        <v>2017</v>
      </c>
    </row>
    <row r="151" spans="1:9" x14ac:dyDescent="0.3">
      <c r="A151" s="1">
        <v>13</v>
      </c>
      <c r="B151" t="s">
        <v>1181</v>
      </c>
      <c r="C151" t="s">
        <v>1210</v>
      </c>
      <c r="D151" t="s">
        <v>1211</v>
      </c>
      <c r="E151" s="4">
        <v>0.17399999999999999</v>
      </c>
      <c r="F151" t="s">
        <v>1041</v>
      </c>
      <c r="H151">
        <f>IFERROR(_xlfn.XLOOKUP(Table1[[#This Row],[Marker]],Table2[Marker],Table2[ID]),-1)</f>
        <v>-1</v>
      </c>
      <c r="I151">
        <f>_xlfn.XLOOKUP(Table1[[#This Row],[Game]],Table14[Game],Table14[release_year])</f>
        <v>2017</v>
      </c>
    </row>
    <row r="152" spans="1:9" x14ac:dyDescent="0.3">
      <c r="A152" s="1">
        <v>14</v>
      </c>
      <c r="B152" t="s">
        <v>1181</v>
      </c>
      <c r="C152" t="s">
        <v>1212</v>
      </c>
      <c r="D152" t="s">
        <v>1213</v>
      </c>
      <c r="E152" s="4">
        <v>0.17399999999999999</v>
      </c>
      <c r="F152" t="s">
        <v>1041</v>
      </c>
      <c r="G152" t="s">
        <v>1276</v>
      </c>
      <c r="H152">
        <f>IFERROR(_xlfn.XLOOKUP(Table1[[#This Row],[Marker]],Table2[Marker],Table2[ID]),-1)</f>
        <v>5</v>
      </c>
      <c r="I152">
        <f>_xlfn.XLOOKUP(Table1[[#This Row],[Game]],Table14[Game],Table14[release_year])</f>
        <v>2017</v>
      </c>
    </row>
    <row r="153" spans="1:9" x14ac:dyDescent="0.3">
      <c r="A153" s="1">
        <v>15</v>
      </c>
      <c r="B153" t="s">
        <v>1181</v>
      </c>
      <c r="C153" t="s">
        <v>1214</v>
      </c>
      <c r="D153" t="s">
        <v>1215</v>
      </c>
      <c r="E153" s="4">
        <v>0.13200000000000001</v>
      </c>
      <c r="F153" t="s">
        <v>1041</v>
      </c>
      <c r="G153" t="s">
        <v>1277</v>
      </c>
      <c r="H153">
        <f>IFERROR(_xlfn.XLOOKUP(Table1[[#This Row],[Marker]],Table2[Marker],Table2[ID]),-1)</f>
        <v>6</v>
      </c>
      <c r="I153">
        <f>_xlfn.XLOOKUP(Table1[[#This Row],[Game]],Table14[Game],Table14[release_year])</f>
        <v>2017</v>
      </c>
    </row>
    <row r="154" spans="1:9" x14ac:dyDescent="0.3">
      <c r="A154" s="1">
        <v>16</v>
      </c>
      <c r="B154" t="s">
        <v>1181</v>
      </c>
      <c r="C154" t="s">
        <v>1216</v>
      </c>
      <c r="D154" t="s">
        <v>1217</v>
      </c>
      <c r="E154" s="4">
        <v>0.13</v>
      </c>
      <c r="F154" t="s">
        <v>1041</v>
      </c>
      <c r="H154">
        <f>IFERROR(_xlfn.XLOOKUP(Table1[[#This Row],[Marker]],Table2[Marker],Table2[ID]),-1)</f>
        <v>-1</v>
      </c>
      <c r="I154">
        <f>_xlfn.XLOOKUP(Table1[[#This Row],[Game]],Table14[Game],Table14[release_year])</f>
        <v>2017</v>
      </c>
    </row>
    <row r="155" spans="1:9" x14ac:dyDescent="0.3">
      <c r="A155" s="1">
        <v>17</v>
      </c>
      <c r="B155" t="s">
        <v>1181</v>
      </c>
      <c r="C155" t="s">
        <v>1218</v>
      </c>
      <c r="D155" t="s">
        <v>1219</v>
      </c>
      <c r="E155" s="4">
        <v>0.122</v>
      </c>
      <c r="F155" t="s">
        <v>1041</v>
      </c>
      <c r="H155">
        <f>IFERROR(_xlfn.XLOOKUP(Table1[[#This Row],[Marker]],Table2[Marker],Table2[ID]),-1)</f>
        <v>-1</v>
      </c>
      <c r="I155">
        <f>_xlfn.XLOOKUP(Table1[[#This Row],[Game]],Table14[Game],Table14[release_year])</f>
        <v>2017</v>
      </c>
    </row>
    <row r="156" spans="1:9" x14ac:dyDescent="0.3">
      <c r="A156" s="1">
        <v>18</v>
      </c>
      <c r="B156" t="s">
        <v>1181</v>
      </c>
      <c r="C156" t="s">
        <v>1220</v>
      </c>
      <c r="D156" t="s">
        <v>1221</v>
      </c>
      <c r="E156" s="4">
        <v>0.112</v>
      </c>
      <c r="F156" t="s">
        <v>1041</v>
      </c>
      <c r="H156">
        <f>IFERROR(_xlfn.XLOOKUP(Table1[[#This Row],[Marker]],Table2[Marker],Table2[ID]),-1)</f>
        <v>-1</v>
      </c>
      <c r="I156">
        <f>_xlfn.XLOOKUP(Table1[[#This Row],[Game]],Table14[Game],Table14[release_year])</f>
        <v>2017</v>
      </c>
    </row>
    <row r="157" spans="1:9" x14ac:dyDescent="0.3">
      <c r="A157" s="1">
        <v>19</v>
      </c>
      <c r="B157" t="s">
        <v>1181</v>
      </c>
      <c r="C157" t="s">
        <v>1222</v>
      </c>
      <c r="D157" t="s">
        <v>1223</v>
      </c>
      <c r="E157" s="4">
        <v>0.10100000000000001</v>
      </c>
      <c r="F157" t="s">
        <v>1041</v>
      </c>
      <c r="H157">
        <f>IFERROR(_xlfn.XLOOKUP(Table1[[#This Row],[Marker]],Table2[Marker],Table2[ID]),-1)</f>
        <v>-1</v>
      </c>
      <c r="I157">
        <f>_xlfn.XLOOKUP(Table1[[#This Row],[Game]],Table14[Game],Table14[release_year])</f>
        <v>2017</v>
      </c>
    </row>
    <row r="158" spans="1:9" x14ac:dyDescent="0.3">
      <c r="A158" s="1">
        <v>20</v>
      </c>
      <c r="B158" t="s">
        <v>1181</v>
      </c>
      <c r="C158" t="s">
        <v>1224</v>
      </c>
      <c r="D158" t="s">
        <v>1225</v>
      </c>
      <c r="E158" s="4">
        <v>9.9000000000000005E-2</v>
      </c>
      <c r="F158" t="s">
        <v>1041</v>
      </c>
      <c r="H158">
        <f>IFERROR(_xlfn.XLOOKUP(Table1[[#This Row],[Marker]],Table2[Marker],Table2[ID]),-1)</f>
        <v>-1</v>
      </c>
      <c r="I158">
        <f>_xlfn.XLOOKUP(Table1[[#This Row],[Game]],Table14[Game],Table14[release_year])</f>
        <v>2017</v>
      </c>
    </row>
    <row r="159" spans="1:9" x14ac:dyDescent="0.3">
      <c r="A159" s="1">
        <v>21</v>
      </c>
      <c r="B159" t="s">
        <v>1181</v>
      </c>
      <c r="C159" t="s">
        <v>1226</v>
      </c>
      <c r="D159" t="s">
        <v>1227</v>
      </c>
      <c r="E159" s="4">
        <v>9.5000000000000001E-2</v>
      </c>
      <c r="F159" t="s">
        <v>1041</v>
      </c>
      <c r="H159">
        <f>IFERROR(_xlfn.XLOOKUP(Table1[[#This Row],[Marker]],Table2[Marker],Table2[ID]),-1)</f>
        <v>-1</v>
      </c>
      <c r="I159">
        <f>_xlfn.XLOOKUP(Table1[[#This Row],[Game]],Table14[Game],Table14[release_year])</f>
        <v>2017</v>
      </c>
    </row>
    <row r="160" spans="1:9" x14ac:dyDescent="0.3">
      <c r="A160" s="1">
        <v>22</v>
      </c>
      <c r="B160" t="s">
        <v>1181</v>
      </c>
      <c r="C160" t="s">
        <v>1228</v>
      </c>
      <c r="D160" t="s">
        <v>1229</v>
      </c>
      <c r="E160" s="4">
        <v>0.09</v>
      </c>
      <c r="F160" t="s">
        <v>1041</v>
      </c>
      <c r="G160" t="s">
        <v>1278</v>
      </c>
      <c r="H160">
        <f>IFERROR(_xlfn.XLOOKUP(Table1[[#This Row],[Marker]],Table2[Marker],Table2[ID]),-1)</f>
        <v>7</v>
      </c>
      <c r="I160">
        <f>_xlfn.XLOOKUP(Table1[[#This Row],[Game]],Table14[Game],Table14[release_year])</f>
        <v>2017</v>
      </c>
    </row>
    <row r="161" spans="1:9" x14ac:dyDescent="0.3">
      <c r="A161" s="1">
        <v>23</v>
      </c>
      <c r="B161" t="s">
        <v>1181</v>
      </c>
      <c r="C161" t="s">
        <v>1230</v>
      </c>
      <c r="D161" t="s">
        <v>1231</v>
      </c>
      <c r="E161" s="4">
        <v>8.900000000000001E-2</v>
      </c>
      <c r="F161" t="s">
        <v>1041</v>
      </c>
      <c r="H161">
        <f>IFERROR(_xlfn.XLOOKUP(Table1[[#This Row],[Marker]],Table2[Marker],Table2[ID]),-1)</f>
        <v>-1</v>
      </c>
      <c r="I161">
        <f>_xlfn.XLOOKUP(Table1[[#This Row],[Game]],Table14[Game],Table14[release_year])</f>
        <v>2017</v>
      </c>
    </row>
    <row r="162" spans="1:9" x14ac:dyDescent="0.3">
      <c r="A162" s="1">
        <v>24</v>
      </c>
      <c r="B162" t="s">
        <v>1181</v>
      </c>
      <c r="C162" t="s">
        <v>1232</v>
      </c>
      <c r="D162" t="s">
        <v>1233</v>
      </c>
      <c r="E162" s="4">
        <v>8.3000000000000004E-2</v>
      </c>
      <c r="F162" t="s">
        <v>1041</v>
      </c>
      <c r="H162">
        <f>IFERROR(_xlfn.XLOOKUP(Table1[[#This Row],[Marker]],Table2[Marker],Table2[ID]),-1)</f>
        <v>-1</v>
      </c>
      <c r="I162">
        <f>_xlfn.XLOOKUP(Table1[[#This Row],[Game]],Table14[Game],Table14[release_year])</f>
        <v>2017</v>
      </c>
    </row>
    <row r="163" spans="1:9" x14ac:dyDescent="0.3">
      <c r="A163" s="1">
        <v>25</v>
      </c>
      <c r="B163" t="s">
        <v>1181</v>
      </c>
      <c r="C163" t="s">
        <v>1234</v>
      </c>
      <c r="D163" t="s">
        <v>1235</v>
      </c>
      <c r="E163" s="4">
        <v>8.199999999999999E-2</v>
      </c>
      <c r="F163" t="s">
        <v>1041</v>
      </c>
      <c r="H163">
        <f>IFERROR(_xlfn.XLOOKUP(Table1[[#This Row],[Marker]],Table2[Marker],Table2[ID]),-1)</f>
        <v>-1</v>
      </c>
      <c r="I163">
        <f>_xlfn.XLOOKUP(Table1[[#This Row],[Game]],Table14[Game],Table14[release_year])</f>
        <v>2017</v>
      </c>
    </row>
    <row r="164" spans="1:9" x14ac:dyDescent="0.3">
      <c r="A164" s="1">
        <v>26</v>
      </c>
      <c r="B164" t="s">
        <v>1181</v>
      </c>
      <c r="C164" t="s">
        <v>1236</v>
      </c>
      <c r="D164" t="s">
        <v>1237</v>
      </c>
      <c r="E164" s="4">
        <v>0.08</v>
      </c>
      <c r="F164" t="s">
        <v>1041</v>
      </c>
      <c r="H164">
        <f>IFERROR(_xlfn.XLOOKUP(Table1[[#This Row],[Marker]],Table2[Marker],Table2[ID]),-1)</f>
        <v>-1</v>
      </c>
      <c r="I164">
        <f>_xlfn.XLOOKUP(Table1[[#This Row],[Game]],Table14[Game],Table14[release_year])</f>
        <v>2017</v>
      </c>
    </row>
    <row r="165" spans="1:9" x14ac:dyDescent="0.3">
      <c r="A165" s="1">
        <v>27</v>
      </c>
      <c r="B165" t="s">
        <v>1181</v>
      </c>
      <c r="C165" t="s">
        <v>1238</v>
      </c>
      <c r="D165" t="s">
        <v>1239</v>
      </c>
      <c r="E165" s="4">
        <v>7.8E-2</v>
      </c>
      <c r="F165" t="s">
        <v>1041</v>
      </c>
      <c r="H165">
        <f>IFERROR(_xlfn.XLOOKUP(Table1[[#This Row],[Marker]],Table2[Marker],Table2[ID]),-1)</f>
        <v>-1</v>
      </c>
      <c r="I165">
        <f>_xlfn.XLOOKUP(Table1[[#This Row],[Game]],Table14[Game],Table14[release_year])</f>
        <v>2017</v>
      </c>
    </row>
    <row r="166" spans="1:9" x14ac:dyDescent="0.3">
      <c r="A166" s="1">
        <v>28</v>
      </c>
      <c r="B166" t="s">
        <v>1181</v>
      </c>
      <c r="C166" t="s">
        <v>1240</v>
      </c>
      <c r="D166" t="s">
        <v>1241</v>
      </c>
      <c r="E166" s="4">
        <v>7.2000000000000008E-2</v>
      </c>
      <c r="F166" t="s">
        <v>1041</v>
      </c>
      <c r="H166">
        <f>IFERROR(_xlfn.XLOOKUP(Table1[[#This Row],[Marker]],Table2[Marker],Table2[ID]),-1)</f>
        <v>-1</v>
      </c>
      <c r="I166">
        <f>_xlfn.XLOOKUP(Table1[[#This Row],[Game]],Table14[Game],Table14[release_year])</f>
        <v>2017</v>
      </c>
    </row>
    <row r="167" spans="1:9" x14ac:dyDescent="0.3">
      <c r="A167" s="1">
        <v>29</v>
      </c>
      <c r="B167" t="s">
        <v>1181</v>
      </c>
      <c r="C167" t="s">
        <v>1242</v>
      </c>
      <c r="D167" t="s">
        <v>1243</v>
      </c>
      <c r="E167" s="4">
        <v>6.5000000000000002E-2</v>
      </c>
      <c r="F167" t="s">
        <v>1041</v>
      </c>
      <c r="H167">
        <f>IFERROR(_xlfn.XLOOKUP(Table1[[#This Row],[Marker]],Table2[Marker],Table2[ID]),-1)</f>
        <v>-1</v>
      </c>
      <c r="I167">
        <f>_xlfn.XLOOKUP(Table1[[#This Row],[Game]],Table14[Game],Table14[release_year])</f>
        <v>2017</v>
      </c>
    </row>
    <row r="168" spans="1:9" x14ac:dyDescent="0.3">
      <c r="A168" s="1">
        <v>30</v>
      </c>
      <c r="B168" t="s">
        <v>1181</v>
      </c>
      <c r="C168" t="s">
        <v>1244</v>
      </c>
      <c r="D168" t="s">
        <v>1245</v>
      </c>
      <c r="E168" s="4">
        <v>6.5000000000000002E-2</v>
      </c>
      <c r="F168" t="s">
        <v>1041</v>
      </c>
      <c r="H168">
        <f>IFERROR(_xlfn.XLOOKUP(Table1[[#This Row],[Marker]],Table2[Marker],Table2[ID]),-1)</f>
        <v>-1</v>
      </c>
      <c r="I168">
        <f>_xlfn.XLOOKUP(Table1[[#This Row],[Game]],Table14[Game],Table14[release_year])</f>
        <v>2017</v>
      </c>
    </row>
    <row r="169" spans="1:9" x14ac:dyDescent="0.3">
      <c r="A169" s="1">
        <v>31</v>
      </c>
      <c r="B169" t="s">
        <v>1181</v>
      </c>
      <c r="C169" t="s">
        <v>1246</v>
      </c>
      <c r="D169" t="s">
        <v>1247</v>
      </c>
      <c r="E169" s="4">
        <v>6.4000000000000001E-2</v>
      </c>
      <c r="F169" t="s">
        <v>1041</v>
      </c>
      <c r="H169">
        <f>IFERROR(_xlfn.XLOOKUP(Table1[[#This Row],[Marker]],Table2[Marker],Table2[ID]),-1)</f>
        <v>-1</v>
      </c>
      <c r="I169">
        <f>_xlfn.XLOOKUP(Table1[[#This Row],[Game]],Table14[Game],Table14[release_year])</f>
        <v>2017</v>
      </c>
    </row>
    <row r="170" spans="1:9" x14ac:dyDescent="0.3">
      <c r="A170" s="1">
        <v>32</v>
      </c>
      <c r="B170" t="s">
        <v>1181</v>
      </c>
      <c r="C170" t="s">
        <v>1248</v>
      </c>
      <c r="D170" t="s">
        <v>1249</v>
      </c>
      <c r="E170" s="4">
        <v>5.1999999999999998E-2</v>
      </c>
      <c r="F170" t="s">
        <v>1041</v>
      </c>
      <c r="H170">
        <f>IFERROR(_xlfn.XLOOKUP(Table1[[#This Row],[Marker]],Table2[Marker],Table2[ID]),-1)</f>
        <v>-1</v>
      </c>
      <c r="I170">
        <f>_xlfn.XLOOKUP(Table1[[#This Row],[Game]],Table14[Game],Table14[release_year])</f>
        <v>2017</v>
      </c>
    </row>
    <row r="171" spans="1:9" x14ac:dyDescent="0.3">
      <c r="A171" s="1">
        <v>33</v>
      </c>
      <c r="B171" t="s">
        <v>1181</v>
      </c>
      <c r="C171" t="s">
        <v>1250</v>
      </c>
      <c r="D171" t="s">
        <v>1251</v>
      </c>
      <c r="E171" s="4">
        <v>4.7E-2</v>
      </c>
      <c r="F171" t="s">
        <v>1041</v>
      </c>
      <c r="H171">
        <f>IFERROR(_xlfn.XLOOKUP(Table1[[#This Row],[Marker]],Table2[Marker],Table2[ID]),-1)</f>
        <v>-1</v>
      </c>
      <c r="I171">
        <f>_xlfn.XLOOKUP(Table1[[#This Row],[Game]],Table14[Game],Table14[release_year])</f>
        <v>2017</v>
      </c>
    </row>
    <row r="172" spans="1:9" x14ac:dyDescent="0.3">
      <c r="A172" s="1">
        <v>34</v>
      </c>
      <c r="B172" t="s">
        <v>1181</v>
      </c>
      <c r="C172" t="s">
        <v>1252</v>
      </c>
      <c r="D172" t="s">
        <v>1253</v>
      </c>
      <c r="E172" s="4">
        <v>4.3999999999999997E-2</v>
      </c>
      <c r="F172" t="s">
        <v>1041</v>
      </c>
      <c r="H172">
        <f>IFERROR(_xlfn.XLOOKUP(Table1[[#This Row],[Marker]],Table2[Marker],Table2[ID]),-1)</f>
        <v>-1</v>
      </c>
      <c r="I172">
        <f>_xlfn.XLOOKUP(Table1[[#This Row],[Game]],Table14[Game],Table14[release_year])</f>
        <v>2017</v>
      </c>
    </row>
    <row r="173" spans="1:9" x14ac:dyDescent="0.3">
      <c r="A173" s="1">
        <v>35</v>
      </c>
      <c r="B173" t="s">
        <v>1181</v>
      </c>
      <c r="C173" t="s">
        <v>1254</v>
      </c>
      <c r="D173" t="s">
        <v>1255</v>
      </c>
      <c r="E173" s="4">
        <v>4.2000000000000003E-2</v>
      </c>
      <c r="F173" t="s">
        <v>1041</v>
      </c>
      <c r="H173">
        <f>IFERROR(_xlfn.XLOOKUP(Table1[[#This Row],[Marker]],Table2[Marker],Table2[ID]),-1)</f>
        <v>-1</v>
      </c>
      <c r="I173">
        <f>_xlfn.XLOOKUP(Table1[[#This Row],[Game]],Table14[Game],Table14[release_year])</f>
        <v>2017</v>
      </c>
    </row>
    <row r="174" spans="1:9" x14ac:dyDescent="0.3">
      <c r="A174" s="1">
        <v>36</v>
      </c>
      <c r="B174" t="s">
        <v>1181</v>
      </c>
      <c r="C174" t="s">
        <v>1256</v>
      </c>
      <c r="D174" t="s">
        <v>1257</v>
      </c>
      <c r="E174" s="4">
        <v>3.7999999999999999E-2</v>
      </c>
      <c r="F174" t="s">
        <v>1041</v>
      </c>
      <c r="H174">
        <f>IFERROR(_xlfn.XLOOKUP(Table1[[#This Row],[Marker]],Table2[Marker],Table2[ID]),-1)</f>
        <v>-1</v>
      </c>
      <c r="I174">
        <f>_xlfn.XLOOKUP(Table1[[#This Row],[Game]],Table14[Game],Table14[release_year])</f>
        <v>2017</v>
      </c>
    </row>
    <row r="175" spans="1:9" x14ac:dyDescent="0.3">
      <c r="A175" s="1">
        <v>37</v>
      </c>
      <c r="B175" t="s">
        <v>1181</v>
      </c>
      <c r="C175" t="s">
        <v>1258</v>
      </c>
      <c r="D175" t="s">
        <v>1259</v>
      </c>
      <c r="E175" s="4">
        <v>3.5999999999999997E-2</v>
      </c>
      <c r="F175" t="s">
        <v>1041</v>
      </c>
      <c r="H175">
        <f>IFERROR(_xlfn.XLOOKUP(Table1[[#This Row],[Marker]],Table2[Marker],Table2[ID]),-1)</f>
        <v>-1</v>
      </c>
      <c r="I175">
        <f>_xlfn.XLOOKUP(Table1[[#This Row],[Game]],Table14[Game],Table14[release_year])</f>
        <v>2017</v>
      </c>
    </row>
    <row r="176" spans="1:9" x14ac:dyDescent="0.3">
      <c r="A176" s="1">
        <v>38</v>
      </c>
      <c r="B176" t="s">
        <v>1181</v>
      </c>
      <c r="C176" t="s">
        <v>1260</v>
      </c>
      <c r="D176" t="s">
        <v>1261</v>
      </c>
      <c r="E176" s="4">
        <v>3.3000000000000002E-2</v>
      </c>
      <c r="F176" t="s">
        <v>1041</v>
      </c>
      <c r="H176">
        <f>IFERROR(_xlfn.XLOOKUP(Table1[[#This Row],[Marker]],Table2[Marker],Table2[ID]),-1)</f>
        <v>-1</v>
      </c>
      <c r="I176">
        <f>_xlfn.XLOOKUP(Table1[[#This Row],[Game]],Table14[Game],Table14[release_year])</f>
        <v>2017</v>
      </c>
    </row>
    <row r="177" spans="1:9" x14ac:dyDescent="0.3">
      <c r="A177" s="1">
        <v>39</v>
      </c>
      <c r="B177" t="s">
        <v>1181</v>
      </c>
      <c r="C177" t="s">
        <v>1262</v>
      </c>
      <c r="D177" t="s">
        <v>1263</v>
      </c>
      <c r="E177" s="4">
        <v>3.3000000000000002E-2</v>
      </c>
      <c r="F177" t="s">
        <v>1041</v>
      </c>
      <c r="H177">
        <f>IFERROR(_xlfn.XLOOKUP(Table1[[#This Row],[Marker]],Table2[Marker],Table2[ID]),-1)</f>
        <v>-1</v>
      </c>
      <c r="I177">
        <f>_xlfn.XLOOKUP(Table1[[#This Row],[Game]],Table14[Game],Table14[release_year])</f>
        <v>2017</v>
      </c>
    </row>
    <row r="178" spans="1:9" x14ac:dyDescent="0.3">
      <c r="A178" s="1">
        <v>40</v>
      </c>
      <c r="B178" t="s">
        <v>1181</v>
      </c>
      <c r="C178" t="s">
        <v>1264</v>
      </c>
      <c r="D178" t="s">
        <v>1265</v>
      </c>
      <c r="E178" s="4">
        <v>3.2000000000000001E-2</v>
      </c>
      <c r="F178" t="s">
        <v>1041</v>
      </c>
      <c r="H178">
        <f>IFERROR(_xlfn.XLOOKUP(Table1[[#This Row],[Marker]],Table2[Marker],Table2[ID]),-1)</f>
        <v>-1</v>
      </c>
      <c r="I178">
        <f>_xlfn.XLOOKUP(Table1[[#This Row],[Game]],Table14[Game],Table14[release_year])</f>
        <v>2017</v>
      </c>
    </row>
    <row r="179" spans="1:9" x14ac:dyDescent="0.3">
      <c r="A179" s="1">
        <v>41</v>
      </c>
      <c r="B179" t="s">
        <v>1181</v>
      </c>
      <c r="C179" t="s">
        <v>1266</v>
      </c>
      <c r="D179" t="s">
        <v>1267</v>
      </c>
      <c r="E179" s="5">
        <v>2.8000000000000001E-2</v>
      </c>
      <c r="F179" t="s">
        <v>1041</v>
      </c>
      <c r="H179">
        <f>IFERROR(_xlfn.XLOOKUP(Table1[[#This Row],[Marker]],Table2[Marker],Table2[ID]),-1)</f>
        <v>-1</v>
      </c>
      <c r="I179">
        <f>_xlfn.XLOOKUP(Table1[[#This Row],[Game]],Table14[Game],Table14[release_year])</f>
        <v>2017</v>
      </c>
    </row>
    <row r="180" spans="1:9" x14ac:dyDescent="0.3">
      <c r="A180" s="1">
        <v>134</v>
      </c>
      <c r="B180" t="s">
        <v>7</v>
      </c>
      <c r="C180" t="s">
        <v>149</v>
      </c>
      <c r="D180" t="s">
        <v>660</v>
      </c>
      <c r="E180" s="4">
        <v>0.75099999999999989</v>
      </c>
      <c r="F180" s="2" t="s">
        <v>1044</v>
      </c>
      <c r="G180" t="s">
        <v>1272</v>
      </c>
      <c r="H180">
        <f>IFERROR(_xlfn.XLOOKUP(Table1[[#This Row],[Marker]],Table2[Marker],Table2[ID]),-1)</f>
        <v>1</v>
      </c>
      <c r="I180">
        <f>_xlfn.XLOOKUP(Table1[[#This Row],[Game]],Table14[Game],Table14[release_year])</f>
        <v>2022</v>
      </c>
    </row>
    <row r="181" spans="1:9" x14ac:dyDescent="0.3">
      <c r="A181" s="1">
        <v>135</v>
      </c>
      <c r="B181" t="s">
        <v>7</v>
      </c>
      <c r="C181" t="s">
        <v>150</v>
      </c>
      <c r="D181" t="s">
        <v>661</v>
      </c>
      <c r="E181" s="4">
        <v>0.71</v>
      </c>
      <c r="F181" s="2" t="s">
        <v>1045</v>
      </c>
      <c r="G181" t="s">
        <v>1273</v>
      </c>
      <c r="H181">
        <f>IFERROR(_xlfn.XLOOKUP(Table1[[#This Row],[Marker]],Table2[Marker],Table2[ID]),-1)</f>
        <v>2</v>
      </c>
      <c r="I181">
        <f>_xlfn.XLOOKUP(Table1[[#This Row],[Game]],Table14[Game],Table14[release_year])</f>
        <v>2022</v>
      </c>
    </row>
    <row r="182" spans="1:9" x14ac:dyDescent="0.3">
      <c r="A182" s="1">
        <v>136</v>
      </c>
      <c r="B182" t="s">
        <v>7</v>
      </c>
      <c r="C182" t="s">
        <v>151</v>
      </c>
      <c r="D182" t="s">
        <v>662</v>
      </c>
      <c r="E182" s="4">
        <v>0.65200000000000002</v>
      </c>
      <c r="F182" t="s">
        <v>1041</v>
      </c>
      <c r="G182" t="s">
        <v>1274</v>
      </c>
      <c r="H182">
        <f>IFERROR(_xlfn.XLOOKUP(Table1[[#This Row],[Marker]],Table2[Marker],Table2[ID]),-1)</f>
        <v>3</v>
      </c>
      <c r="I182">
        <f>_xlfn.XLOOKUP(Table1[[#This Row],[Game]],Table14[Game],Table14[release_year])</f>
        <v>2022</v>
      </c>
    </row>
    <row r="183" spans="1:9" x14ac:dyDescent="0.3">
      <c r="A183" s="1">
        <v>137</v>
      </c>
      <c r="B183" t="s">
        <v>7</v>
      </c>
      <c r="C183" t="s">
        <v>152</v>
      </c>
      <c r="D183" t="s">
        <v>663</v>
      </c>
      <c r="E183" s="4">
        <v>0.60699999999999998</v>
      </c>
      <c r="F183" t="s">
        <v>1041</v>
      </c>
      <c r="H183">
        <f>IFERROR(_xlfn.XLOOKUP(Table1[[#This Row],[Marker]],Table2[Marker],Table2[ID]),-1)</f>
        <v>-1</v>
      </c>
      <c r="I183">
        <f>_xlfn.XLOOKUP(Table1[[#This Row],[Game]],Table14[Game],Table14[release_year])</f>
        <v>2022</v>
      </c>
    </row>
    <row r="184" spans="1:9" x14ac:dyDescent="0.3">
      <c r="A184" s="1">
        <v>138</v>
      </c>
      <c r="B184" t="s">
        <v>7</v>
      </c>
      <c r="C184" t="s">
        <v>153</v>
      </c>
      <c r="D184" t="s">
        <v>664</v>
      </c>
      <c r="E184" s="4">
        <v>0.59399999999999997</v>
      </c>
      <c r="F184" t="s">
        <v>1041</v>
      </c>
      <c r="H184">
        <f>IFERROR(_xlfn.XLOOKUP(Table1[[#This Row],[Marker]],Table2[Marker],Table2[ID]),-1)</f>
        <v>-1</v>
      </c>
      <c r="I184">
        <f>_xlfn.XLOOKUP(Table1[[#This Row],[Game]],Table14[Game],Table14[release_year])</f>
        <v>2022</v>
      </c>
    </row>
    <row r="185" spans="1:9" x14ac:dyDescent="0.3">
      <c r="A185" s="1">
        <v>139</v>
      </c>
      <c r="B185" t="s">
        <v>7</v>
      </c>
      <c r="C185" t="s">
        <v>154</v>
      </c>
      <c r="D185" t="s">
        <v>665</v>
      </c>
      <c r="E185" s="4">
        <v>0.57999999999999996</v>
      </c>
      <c r="F185" t="s">
        <v>1041</v>
      </c>
      <c r="H185">
        <f>IFERROR(_xlfn.XLOOKUP(Table1[[#This Row],[Marker]],Table2[Marker],Table2[ID]),-1)</f>
        <v>-1</v>
      </c>
      <c r="I185">
        <f>_xlfn.XLOOKUP(Table1[[#This Row],[Game]],Table14[Game],Table14[release_year])</f>
        <v>2022</v>
      </c>
    </row>
    <row r="186" spans="1:9" x14ac:dyDescent="0.3">
      <c r="A186" s="1">
        <v>140</v>
      </c>
      <c r="B186" t="s">
        <v>7</v>
      </c>
      <c r="C186" t="s">
        <v>155</v>
      </c>
      <c r="D186" t="s">
        <v>666</v>
      </c>
      <c r="E186" s="4">
        <v>0.57700000000000007</v>
      </c>
      <c r="F186" t="s">
        <v>1041</v>
      </c>
      <c r="H186">
        <f>IFERROR(_xlfn.XLOOKUP(Table1[[#This Row],[Marker]],Table2[Marker],Table2[ID]),-1)</f>
        <v>-1</v>
      </c>
      <c r="I186">
        <f>_xlfn.XLOOKUP(Table1[[#This Row],[Game]],Table14[Game],Table14[release_year])</f>
        <v>2022</v>
      </c>
    </row>
    <row r="187" spans="1:9" x14ac:dyDescent="0.3">
      <c r="A187" s="1">
        <v>141</v>
      </c>
      <c r="B187" t="s">
        <v>7</v>
      </c>
      <c r="C187" t="s">
        <v>156</v>
      </c>
      <c r="D187" t="s">
        <v>667</v>
      </c>
      <c r="E187" s="4">
        <v>0.55500000000000005</v>
      </c>
      <c r="F187" t="s">
        <v>1041</v>
      </c>
      <c r="H187">
        <f>IFERROR(_xlfn.XLOOKUP(Table1[[#This Row],[Marker]],Table2[Marker],Table2[ID]),-1)</f>
        <v>-1</v>
      </c>
      <c r="I187">
        <f>_xlfn.XLOOKUP(Table1[[#This Row],[Game]],Table14[Game],Table14[release_year])</f>
        <v>2022</v>
      </c>
    </row>
    <row r="188" spans="1:9" x14ac:dyDescent="0.3">
      <c r="A188" s="1">
        <v>142</v>
      </c>
      <c r="B188" t="s">
        <v>7</v>
      </c>
      <c r="C188" t="s">
        <v>157</v>
      </c>
      <c r="D188" t="s">
        <v>668</v>
      </c>
      <c r="E188" s="4">
        <v>0.53299999999999992</v>
      </c>
      <c r="F188" t="s">
        <v>1041</v>
      </c>
      <c r="G188" t="s">
        <v>1275</v>
      </c>
      <c r="H188">
        <f>IFERROR(_xlfn.XLOOKUP(Table1[[#This Row],[Marker]],Table2[Marker],Table2[ID]),-1)</f>
        <v>4</v>
      </c>
      <c r="I188">
        <f>_xlfn.XLOOKUP(Table1[[#This Row],[Game]],Table14[Game],Table14[release_year])</f>
        <v>2022</v>
      </c>
    </row>
    <row r="189" spans="1:9" x14ac:dyDescent="0.3">
      <c r="A189" s="1">
        <v>143</v>
      </c>
      <c r="B189" t="s">
        <v>7</v>
      </c>
      <c r="C189" t="s">
        <v>158</v>
      </c>
      <c r="D189" t="s">
        <v>669</v>
      </c>
      <c r="E189" s="4">
        <v>0.50900000000000001</v>
      </c>
      <c r="F189" t="s">
        <v>1041</v>
      </c>
      <c r="H189">
        <f>IFERROR(_xlfn.XLOOKUP(Table1[[#This Row],[Marker]],Table2[Marker],Table2[ID]),-1)</f>
        <v>-1</v>
      </c>
      <c r="I189">
        <f>_xlfn.XLOOKUP(Table1[[#This Row],[Game]],Table14[Game],Table14[release_year])</f>
        <v>2022</v>
      </c>
    </row>
    <row r="190" spans="1:9" x14ac:dyDescent="0.3">
      <c r="A190" s="1">
        <v>144</v>
      </c>
      <c r="B190" t="s">
        <v>7</v>
      </c>
      <c r="C190" t="s">
        <v>159</v>
      </c>
      <c r="D190" t="s">
        <v>670</v>
      </c>
      <c r="E190" s="4">
        <v>0.501</v>
      </c>
      <c r="F190" t="s">
        <v>1041</v>
      </c>
      <c r="H190">
        <f>IFERROR(_xlfn.XLOOKUP(Table1[[#This Row],[Marker]],Table2[Marker],Table2[ID]),-1)</f>
        <v>-1</v>
      </c>
      <c r="I190">
        <f>_xlfn.XLOOKUP(Table1[[#This Row],[Game]],Table14[Game],Table14[release_year])</f>
        <v>2022</v>
      </c>
    </row>
    <row r="191" spans="1:9" x14ac:dyDescent="0.3">
      <c r="A191" s="1">
        <v>145</v>
      </c>
      <c r="B191" t="s">
        <v>7</v>
      </c>
      <c r="C191" t="s">
        <v>160</v>
      </c>
      <c r="D191" t="s">
        <v>671</v>
      </c>
      <c r="E191" s="4">
        <v>0.496</v>
      </c>
      <c r="F191" t="s">
        <v>1041</v>
      </c>
      <c r="H191">
        <f>IFERROR(_xlfn.XLOOKUP(Table1[[#This Row],[Marker]],Table2[Marker],Table2[ID]),-1)</f>
        <v>-1</v>
      </c>
      <c r="I191">
        <f>_xlfn.XLOOKUP(Table1[[#This Row],[Game]],Table14[Game],Table14[release_year])</f>
        <v>2022</v>
      </c>
    </row>
    <row r="192" spans="1:9" x14ac:dyDescent="0.3">
      <c r="A192" s="1">
        <v>146</v>
      </c>
      <c r="B192" t="s">
        <v>7</v>
      </c>
      <c r="C192" t="s">
        <v>161</v>
      </c>
      <c r="D192" t="s">
        <v>672</v>
      </c>
      <c r="E192" s="4">
        <v>0.47899999999999998</v>
      </c>
      <c r="F192" t="s">
        <v>1041</v>
      </c>
      <c r="H192">
        <f>IFERROR(_xlfn.XLOOKUP(Table1[[#This Row],[Marker]],Table2[Marker],Table2[ID]),-1)</f>
        <v>-1</v>
      </c>
      <c r="I192">
        <f>_xlfn.XLOOKUP(Table1[[#This Row],[Game]],Table14[Game],Table14[release_year])</f>
        <v>2022</v>
      </c>
    </row>
    <row r="193" spans="1:10" x14ac:dyDescent="0.3">
      <c r="A193" s="1">
        <v>147</v>
      </c>
      <c r="B193" t="s">
        <v>7</v>
      </c>
      <c r="C193" t="s">
        <v>162</v>
      </c>
      <c r="D193" t="s">
        <v>673</v>
      </c>
      <c r="E193" s="4">
        <v>0.45600000000000002</v>
      </c>
      <c r="F193" t="s">
        <v>1041</v>
      </c>
      <c r="H193">
        <f>IFERROR(_xlfn.XLOOKUP(Table1[[#This Row],[Marker]],Table2[Marker],Table2[ID]),-1)</f>
        <v>-1</v>
      </c>
      <c r="I193">
        <f>_xlfn.XLOOKUP(Table1[[#This Row],[Game]],Table14[Game],Table14[release_year])</f>
        <v>2022</v>
      </c>
    </row>
    <row r="194" spans="1:10" x14ac:dyDescent="0.3">
      <c r="A194" s="1">
        <v>148</v>
      </c>
      <c r="B194" t="s">
        <v>7</v>
      </c>
      <c r="C194" t="s">
        <v>163</v>
      </c>
      <c r="D194" t="s">
        <v>674</v>
      </c>
      <c r="E194" s="4">
        <v>0.45</v>
      </c>
      <c r="F194" t="s">
        <v>1041</v>
      </c>
      <c r="H194">
        <f>IFERROR(_xlfn.XLOOKUP(Table1[[#This Row],[Marker]],Table2[Marker],Table2[ID]),-1)</f>
        <v>-1</v>
      </c>
      <c r="I194">
        <f>_xlfn.XLOOKUP(Table1[[#This Row],[Game]],Table14[Game],Table14[release_year])</f>
        <v>2022</v>
      </c>
    </row>
    <row r="195" spans="1:10" x14ac:dyDescent="0.3">
      <c r="A195" s="1">
        <v>149</v>
      </c>
      <c r="B195" t="s">
        <v>7</v>
      </c>
      <c r="C195" t="s">
        <v>164</v>
      </c>
      <c r="D195" t="s">
        <v>675</v>
      </c>
      <c r="E195" s="4">
        <v>0.442</v>
      </c>
      <c r="F195" t="s">
        <v>1041</v>
      </c>
      <c r="H195">
        <f>IFERROR(_xlfn.XLOOKUP(Table1[[#This Row],[Marker]],Table2[Marker],Table2[ID]),-1)</f>
        <v>-1</v>
      </c>
      <c r="I195">
        <f>_xlfn.XLOOKUP(Table1[[#This Row],[Game]],Table14[Game],Table14[release_year])</f>
        <v>2022</v>
      </c>
    </row>
    <row r="196" spans="1:10" x14ac:dyDescent="0.3">
      <c r="A196" s="1">
        <v>150</v>
      </c>
      <c r="B196" t="s">
        <v>7</v>
      </c>
      <c r="C196" t="s">
        <v>165</v>
      </c>
      <c r="D196" t="s">
        <v>676</v>
      </c>
      <c r="E196" s="4">
        <v>0.441</v>
      </c>
      <c r="F196" t="s">
        <v>1041</v>
      </c>
      <c r="H196">
        <f>IFERROR(_xlfn.XLOOKUP(Table1[[#This Row],[Marker]],Table2[Marker],Table2[ID]),-1)</f>
        <v>-1</v>
      </c>
      <c r="I196">
        <f>_xlfn.XLOOKUP(Table1[[#This Row],[Game]],Table14[Game],Table14[release_year])</f>
        <v>2022</v>
      </c>
    </row>
    <row r="197" spans="1:10" x14ac:dyDescent="0.3">
      <c r="A197" s="1">
        <v>151</v>
      </c>
      <c r="B197" t="s">
        <v>7</v>
      </c>
      <c r="C197" t="s">
        <v>166</v>
      </c>
      <c r="D197" t="s">
        <v>677</v>
      </c>
      <c r="E197" s="4">
        <v>0.436</v>
      </c>
      <c r="F197" t="s">
        <v>1041</v>
      </c>
      <c r="H197">
        <f>IFERROR(_xlfn.XLOOKUP(Table1[[#This Row],[Marker]],Table2[Marker],Table2[ID]),-1)</f>
        <v>-1</v>
      </c>
      <c r="I197">
        <f>_xlfn.XLOOKUP(Table1[[#This Row],[Game]],Table14[Game],Table14[release_year])</f>
        <v>2022</v>
      </c>
    </row>
    <row r="198" spans="1:10" x14ac:dyDescent="0.3">
      <c r="A198" s="1">
        <v>152</v>
      </c>
      <c r="B198" t="s">
        <v>7</v>
      </c>
      <c r="C198" t="s">
        <v>167</v>
      </c>
      <c r="D198" t="s">
        <v>678</v>
      </c>
      <c r="E198" s="4">
        <v>0.434</v>
      </c>
      <c r="F198" t="s">
        <v>1041</v>
      </c>
      <c r="H198">
        <f>IFERROR(_xlfn.XLOOKUP(Table1[[#This Row],[Marker]],Table2[Marker],Table2[ID]),-1)</f>
        <v>-1</v>
      </c>
      <c r="I198">
        <f>_xlfn.XLOOKUP(Table1[[#This Row],[Game]],Table14[Game],Table14[release_year])</f>
        <v>2022</v>
      </c>
    </row>
    <row r="199" spans="1:10" x14ac:dyDescent="0.3">
      <c r="A199" s="1">
        <v>153</v>
      </c>
      <c r="B199" t="s">
        <v>7</v>
      </c>
      <c r="C199" t="s">
        <v>168</v>
      </c>
      <c r="D199" t="s">
        <v>679</v>
      </c>
      <c r="E199" s="4">
        <v>0.43200000000000005</v>
      </c>
      <c r="F199" t="s">
        <v>1041</v>
      </c>
      <c r="H199">
        <f>IFERROR(_xlfn.XLOOKUP(Table1[[#This Row],[Marker]],Table2[Marker],Table2[ID]),-1)</f>
        <v>-1</v>
      </c>
      <c r="I199">
        <f>_xlfn.XLOOKUP(Table1[[#This Row],[Game]],Table14[Game],Table14[release_year])</f>
        <v>2022</v>
      </c>
    </row>
    <row r="200" spans="1:10" x14ac:dyDescent="0.3">
      <c r="A200" s="1">
        <v>154</v>
      </c>
      <c r="B200" t="s">
        <v>7</v>
      </c>
      <c r="C200" t="s">
        <v>169</v>
      </c>
      <c r="D200" t="s">
        <v>680</v>
      </c>
      <c r="E200" s="4">
        <v>0.43</v>
      </c>
      <c r="F200" t="s">
        <v>1041</v>
      </c>
      <c r="H200">
        <f>IFERROR(_xlfn.XLOOKUP(Table1[[#This Row],[Marker]],Table2[Marker],Table2[ID]),-1)</f>
        <v>-1</v>
      </c>
      <c r="I200">
        <f>_xlfn.XLOOKUP(Table1[[#This Row],[Game]],Table14[Game],Table14[release_year])</f>
        <v>2022</v>
      </c>
    </row>
    <row r="201" spans="1:10" x14ac:dyDescent="0.3">
      <c r="A201" s="1">
        <v>155</v>
      </c>
      <c r="B201" t="s">
        <v>7</v>
      </c>
      <c r="C201" t="s">
        <v>170</v>
      </c>
      <c r="D201" t="s">
        <v>681</v>
      </c>
      <c r="E201" s="4">
        <v>0.41799999999999998</v>
      </c>
      <c r="F201" t="s">
        <v>1041</v>
      </c>
      <c r="H201">
        <f>IFERROR(_xlfn.XLOOKUP(Table1[[#This Row],[Marker]],Table2[Marker],Table2[ID]),-1)</f>
        <v>-1</v>
      </c>
      <c r="I201">
        <f>_xlfn.XLOOKUP(Table1[[#This Row],[Game]],Table14[Game],Table14[release_year])</f>
        <v>2022</v>
      </c>
    </row>
    <row r="202" spans="1:10" x14ac:dyDescent="0.3">
      <c r="A202" s="1">
        <v>156</v>
      </c>
      <c r="B202" t="s">
        <v>7</v>
      </c>
      <c r="C202" t="s">
        <v>171</v>
      </c>
      <c r="D202" t="s">
        <v>682</v>
      </c>
      <c r="E202" s="4">
        <v>0.41600000000000004</v>
      </c>
      <c r="F202" t="s">
        <v>1041</v>
      </c>
      <c r="H202">
        <f>IFERROR(_xlfn.XLOOKUP(Table1[[#This Row],[Marker]],Table2[Marker],Table2[ID]),-1)</f>
        <v>-1</v>
      </c>
      <c r="I202">
        <f>_xlfn.XLOOKUP(Table1[[#This Row],[Game]],Table14[Game],Table14[release_year])</f>
        <v>2022</v>
      </c>
    </row>
    <row r="203" spans="1:10" x14ac:dyDescent="0.3">
      <c r="A203" s="1">
        <v>157</v>
      </c>
      <c r="B203" t="s">
        <v>7</v>
      </c>
      <c r="C203" t="s">
        <v>172</v>
      </c>
      <c r="D203" t="s">
        <v>683</v>
      </c>
      <c r="E203" s="4">
        <v>0.40700000000000003</v>
      </c>
      <c r="F203" t="s">
        <v>1041</v>
      </c>
      <c r="H203">
        <f>IFERROR(_xlfn.XLOOKUP(Table1[[#This Row],[Marker]],Table2[Marker],Table2[ID]),-1)</f>
        <v>-1</v>
      </c>
      <c r="I203">
        <f>_xlfn.XLOOKUP(Table1[[#This Row],[Game]],Table14[Game],Table14[release_year])</f>
        <v>2022</v>
      </c>
    </row>
    <row r="204" spans="1:10" x14ac:dyDescent="0.3">
      <c r="A204" s="1">
        <v>158</v>
      </c>
      <c r="B204" t="s">
        <v>7</v>
      </c>
      <c r="C204" t="s">
        <v>173</v>
      </c>
      <c r="D204" t="s">
        <v>684</v>
      </c>
      <c r="E204" s="4">
        <v>0.40500000000000003</v>
      </c>
      <c r="F204" t="s">
        <v>1041</v>
      </c>
      <c r="G204" t="s">
        <v>1276</v>
      </c>
      <c r="H204">
        <f>IFERROR(_xlfn.XLOOKUP(Table1[[#This Row],[Marker]],Table2[Marker],Table2[ID]),-1)</f>
        <v>5</v>
      </c>
      <c r="I204">
        <f>_xlfn.XLOOKUP(Table1[[#This Row],[Game]],Table14[Game],Table14[release_year])</f>
        <v>2022</v>
      </c>
      <c r="J204" t="s">
        <v>1179</v>
      </c>
    </row>
    <row r="205" spans="1:10" x14ac:dyDescent="0.3">
      <c r="A205" s="1">
        <v>159</v>
      </c>
      <c r="B205" t="s">
        <v>7</v>
      </c>
      <c r="C205" t="s">
        <v>174</v>
      </c>
      <c r="D205" t="s">
        <v>685</v>
      </c>
      <c r="E205" s="4">
        <v>0.39899999999999997</v>
      </c>
      <c r="F205" t="s">
        <v>1041</v>
      </c>
      <c r="H205">
        <f>IFERROR(_xlfn.XLOOKUP(Table1[[#This Row],[Marker]],Table2[Marker],Table2[ID]),-1)</f>
        <v>-1</v>
      </c>
      <c r="I205">
        <f>_xlfn.XLOOKUP(Table1[[#This Row],[Game]],Table14[Game],Table14[release_year])</f>
        <v>2022</v>
      </c>
    </row>
    <row r="206" spans="1:10" x14ac:dyDescent="0.3">
      <c r="A206" s="1">
        <v>160</v>
      </c>
      <c r="B206" t="s">
        <v>7</v>
      </c>
      <c r="C206" t="s">
        <v>175</v>
      </c>
      <c r="D206" t="s">
        <v>686</v>
      </c>
      <c r="E206" s="4">
        <v>0.39799999999999996</v>
      </c>
      <c r="F206" t="s">
        <v>1041</v>
      </c>
      <c r="H206">
        <f>IFERROR(_xlfn.XLOOKUP(Table1[[#This Row],[Marker]],Table2[Marker],Table2[ID]),-1)</f>
        <v>-1</v>
      </c>
      <c r="I206">
        <f>_xlfn.XLOOKUP(Table1[[#This Row],[Game]],Table14[Game],Table14[release_year])</f>
        <v>2022</v>
      </c>
    </row>
    <row r="207" spans="1:10" x14ac:dyDescent="0.3">
      <c r="A207" s="1">
        <v>161</v>
      </c>
      <c r="B207" t="s">
        <v>7</v>
      </c>
      <c r="C207" t="s">
        <v>176</v>
      </c>
      <c r="D207" t="s">
        <v>687</v>
      </c>
      <c r="E207" s="4">
        <v>0.39700000000000002</v>
      </c>
      <c r="F207" t="s">
        <v>1041</v>
      </c>
      <c r="H207">
        <f>IFERROR(_xlfn.XLOOKUP(Table1[[#This Row],[Marker]],Table2[Marker],Table2[ID]),-1)</f>
        <v>-1</v>
      </c>
      <c r="I207">
        <f>_xlfn.XLOOKUP(Table1[[#This Row],[Game]],Table14[Game],Table14[release_year])</f>
        <v>2022</v>
      </c>
    </row>
    <row r="208" spans="1:10" x14ac:dyDescent="0.3">
      <c r="A208" s="1">
        <v>162</v>
      </c>
      <c r="B208" t="s">
        <v>7</v>
      </c>
      <c r="C208" t="s">
        <v>177</v>
      </c>
      <c r="D208" t="s">
        <v>688</v>
      </c>
      <c r="E208" s="4">
        <v>0.39200000000000002</v>
      </c>
      <c r="F208" t="s">
        <v>1041</v>
      </c>
      <c r="H208">
        <f>IFERROR(_xlfn.XLOOKUP(Table1[[#This Row],[Marker]],Table2[Marker],Table2[ID]),-1)</f>
        <v>-1</v>
      </c>
      <c r="I208">
        <f>_xlfn.XLOOKUP(Table1[[#This Row],[Game]],Table14[Game],Table14[release_year])</f>
        <v>2022</v>
      </c>
    </row>
    <row r="209" spans="1:9" x14ac:dyDescent="0.3">
      <c r="A209" s="1">
        <v>163</v>
      </c>
      <c r="B209" t="s">
        <v>7</v>
      </c>
      <c r="C209" t="s">
        <v>178</v>
      </c>
      <c r="D209" t="s">
        <v>689</v>
      </c>
      <c r="E209" s="4">
        <v>0.38100000000000001</v>
      </c>
      <c r="F209" t="s">
        <v>1041</v>
      </c>
      <c r="H209">
        <f>IFERROR(_xlfn.XLOOKUP(Table1[[#This Row],[Marker]],Table2[Marker],Table2[ID]),-1)</f>
        <v>-1</v>
      </c>
      <c r="I209">
        <f>_xlfn.XLOOKUP(Table1[[#This Row],[Game]],Table14[Game],Table14[release_year])</f>
        <v>2022</v>
      </c>
    </row>
    <row r="210" spans="1:9" x14ac:dyDescent="0.3">
      <c r="A210" s="1">
        <v>164</v>
      </c>
      <c r="B210" t="s">
        <v>7</v>
      </c>
      <c r="C210" t="s">
        <v>179</v>
      </c>
      <c r="D210" t="s">
        <v>690</v>
      </c>
      <c r="E210" s="4">
        <v>0.36399999999999999</v>
      </c>
      <c r="F210" t="s">
        <v>1041</v>
      </c>
      <c r="H210">
        <f>IFERROR(_xlfn.XLOOKUP(Table1[[#This Row],[Marker]],Table2[Marker],Table2[ID]),-1)</f>
        <v>-1</v>
      </c>
      <c r="I210">
        <f>_xlfn.XLOOKUP(Table1[[#This Row],[Game]],Table14[Game],Table14[release_year])</f>
        <v>2022</v>
      </c>
    </row>
    <row r="211" spans="1:9" x14ac:dyDescent="0.3">
      <c r="A211" s="1">
        <v>165</v>
      </c>
      <c r="B211" t="s">
        <v>7</v>
      </c>
      <c r="C211" t="s">
        <v>180</v>
      </c>
      <c r="D211" t="s">
        <v>691</v>
      </c>
      <c r="E211" s="4">
        <v>0.34799999999999998</v>
      </c>
      <c r="F211" t="s">
        <v>1041</v>
      </c>
      <c r="H211">
        <f>IFERROR(_xlfn.XLOOKUP(Table1[[#This Row],[Marker]],Table2[Marker],Table2[ID]),-1)</f>
        <v>-1</v>
      </c>
      <c r="I211">
        <f>_xlfn.XLOOKUP(Table1[[#This Row],[Game]],Table14[Game],Table14[release_year])</f>
        <v>2022</v>
      </c>
    </row>
    <row r="212" spans="1:9" x14ac:dyDescent="0.3">
      <c r="A212" s="1">
        <v>166</v>
      </c>
      <c r="B212" t="s">
        <v>7</v>
      </c>
      <c r="C212" t="s">
        <v>181</v>
      </c>
      <c r="D212" t="s">
        <v>692</v>
      </c>
      <c r="E212" s="4">
        <v>0.30099999999999999</v>
      </c>
      <c r="F212" t="s">
        <v>1041</v>
      </c>
      <c r="H212">
        <f>IFERROR(_xlfn.XLOOKUP(Table1[[#This Row],[Marker]],Table2[Marker],Table2[ID]),-1)</f>
        <v>-1</v>
      </c>
      <c r="I212">
        <f>_xlfn.XLOOKUP(Table1[[#This Row],[Game]],Table14[Game],Table14[release_year])</f>
        <v>2022</v>
      </c>
    </row>
    <row r="213" spans="1:9" x14ac:dyDescent="0.3">
      <c r="A213" s="1">
        <v>167</v>
      </c>
      <c r="B213" t="s">
        <v>7</v>
      </c>
      <c r="C213" t="s">
        <v>182</v>
      </c>
      <c r="D213" t="s">
        <v>693</v>
      </c>
      <c r="E213" s="4">
        <v>0.29100000000000004</v>
      </c>
      <c r="F213" t="s">
        <v>1041</v>
      </c>
      <c r="H213">
        <f>IFERROR(_xlfn.XLOOKUP(Table1[[#This Row],[Marker]],Table2[Marker],Table2[ID]),-1)</f>
        <v>-1</v>
      </c>
      <c r="I213">
        <f>_xlfn.XLOOKUP(Table1[[#This Row],[Game]],Table14[Game],Table14[release_year])</f>
        <v>2022</v>
      </c>
    </row>
    <row r="214" spans="1:9" x14ac:dyDescent="0.3">
      <c r="A214" s="1">
        <v>168</v>
      </c>
      <c r="B214" t="s">
        <v>7</v>
      </c>
      <c r="C214" t="s">
        <v>183</v>
      </c>
      <c r="D214" t="s">
        <v>694</v>
      </c>
      <c r="E214" s="4">
        <v>0.28199999999999997</v>
      </c>
      <c r="F214" t="s">
        <v>1041</v>
      </c>
      <c r="H214">
        <f>IFERROR(_xlfn.XLOOKUP(Table1[[#This Row],[Marker]],Table2[Marker],Table2[ID]),-1)</f>
        <v>-1</v>
      </c>
      <c r="I214">
        <f>_xlfn.XLOOKUP(Table1[[#This Row],[Game]],Table14[Game],Table14[release_year])</f>
        <v>2022</v>
      </c>
    </row>
    <row r="215" spans="1:9" x14ac:dyDescent="0.3">
      <c r="A215" s="1">
        <v>169</v>
      </c>
      <c r="B215" t="s">
        <v>7</v>
      </c>
      <c r="C215" t="s">
        <v>184</v>
      </c>
      <c r="D215" t="s">
        <v>695</v>
      </c>
      <c r="E215" s="4">
        <v>0.23800000000000002</v>
      </c>
      <c r="F215" t="s">
        <v>1041</v>
      </c>
      <c r="H215">
        <f>IFERROR(_xlfn.XLOOKUP(Table1[[#This Row],[Marker]],Table2[Marker],Table2[ID]),-1)</f>
        <v>-1</v>
      </c>
      <c r="I215">
        <f>_xlfn.XLOOKUP(Table1[[#This Row],[Game]],Table14[Game],Table14[release_year])</f>
        <v>2022</v>
      </c>
    </row>
    <row r="216" spans="1:9" x14ac:dyDescent="0.3">
      <c r="A216" s="1">
        <v>170</v>
      </c>
      <c r="B216" t="s">
        <v>7</v>
      </c>
      <c r="C216" t="s">
        <v>185</v>
      </c>
      <c r="D216" t="s">
        <v>696</v>
      </c>
      <c r="E216" s="4">
        <v>0.182</v>
      </c>
      <c r="F216" t="s">
        <v>1041</v>
      </c>
      <c r="H216">
        <f>IFERROR(_xlfn.XLOOKUP(Table1[[#This Row],[Marker]],Table2[Marker],Table2[ID]),-1)</f>
        <v>-1</v>
      </c>
      <c r="I216">
        <f>_xlfn.XLOOKUP(Table1[[#This Row],[Game]],Table14[Game],Table14[release_year])</f>
        <v>2022</v>
      </c>
    </row>
    <row r="217" spans="1:9" x14ac:dyDescent="0.3">
      <c r="A217" s="1">
        <v>171</v>
      </c>
      <c r="B217" t="s">
        <v>7</v>
      </c>
      <c r="C217" t="s">
        <v>186</v>
      </c>
      <c r="D217" t="s">
        <v>697</v>
      </c>
      <c r="E217" s="4">
        <v>0.17699999999999999</v>
      </c>
      <c r="F217" t="s">
        <v>1041</v>
      </c>
      <c r="H217">
        <f>IFERROR(_xlfn.XLOOKUP(Table1[[#This Row],[Marker]],Table2[Marker],Table2[ID]),-1)</f>
        <v>-1</v>
      </c>
      <c r="I217">
        <f>_xlfn.XLOOKUP(Table1[[#This Row],[Game]],Table14[Game],Table14[release_year])</f>
        <v>2022</v>
      </c>
    </row>
    <row r="218" spans="1:9" x14ac:dyDescent="0.3">
      <c r="A218" s="1">
        <v>172</v>
      </c>
      <c r="B218" t="s">
        <v>7</v>
      </c>
      <c r="C218" t="s">
        <v>187</v>
      </c>
      <c r="D218" t="s">
        <v>698</v>
      </c>
      <c r="E218" s="4">
        <v>0.17600000000000002</v>
      </c>
      <c r="F218" t="s">
        <v>1041</v>
      </c>
      <c r="H218">
        <f>IFERROR(_xlfn.XLOOKUP(Table1[[#This Row],[Marker]],Table2[Marker],Table2[ID]),-1)</f>
        <v>-1</v>
      </c>
      <c r="I218">
        <f>_xlfn.XLOOKUP(Table1[[#This Row],[Game]],Table14[Game],Table14[release_year])</f>
        <v>2022</v>
      </c>
    </row>
    <row r="219" spans="1:9" x14ac:dyDescent="0.3">
      <c r="A219" s="1">
        <v>173</v>
      </c>
      <c r="B219" t="s">
        <v>7</v>
      </c>
      <c r="C219" t="s">
        <v>188</v>
      </c>
      <c r="D219" t="s">
        <v>699</v>
      </c>
      <c r="E219" s="4">
        <v>0.17199999999999999</v>
      </c>
      <c r="F219" t="s">
        <v>1041</v>
      </c>
      <c r="H219">
        <f>IFERROR(_xlfn.XLOOKUP(Table1[[#This Row],[Marker]],Table2[Marker],Table2[ID]),-1)</f>
        <v>-1</v>
      </c>
      <c r="I219">
        <f>_xlfn.XLOOKUP(Table1[[#This Row],[Game]],Table14[Game],Table14[release_year])</f>
        <v>2022</v>
      </c>
    </row>
    <row r="220" spans="1:9" x14ac:dyDescent="0.3">
      <c r="A220" s="1">
        <v>174</v>
      </c>
      <c r="B220" t="s">
        <v>7</v>
      </c>
      <c r="C220" t="s">
        <v>189</v>
      </c>
      <c r="D220" t="s">
        <v>700</v>
      </c>
      <c r="E220" s="4">
        <v>0.16399999999999998</v>
      </c>
      <c r="F220" t="s">
        <v>1041</v>
      </c>
      <c r="H220">
        <f>IFERROR(_xlfn.XLOOKUP(Table1[[#This Row],[Marker]],Table2[Marker],Table2[ID]),-1)</f>
        <v>-1</v>
      </c>
      <c r="I220">
        <f>_xlfn.XLOOKUP(Table1[[#This Row],[Game]],Table14[Game],Table14[release_year])</f>
        <v>2022</v>
      </c>
    </row>
    <row r="221" spans="1:9" x14ac:dyDescent="0.3">
      <c r="A221" s="1">
        <v>175</v>
      </c>
      <c r="B221" t="s">
        <v>7</v>
      </c>
      <c r="C221" t="s">
        <v>7</v>
      </c>
      <c r="D221" t="s">
        <v>701</v>
      </c>
      <c r="E221" s="4">
        <v>0.10400000000000001</v>
      </c>
      <c r="F221" t="s">
        <v>1041</v>
      </c>
      <c r="H221">
        <f>IFERROR(_xlfn.XLOOKUP(Table1[[#This Row],[Marker]],Table2[Marker],Table2[ID]),-1)</f>
        <v>-1</v>
      </c>
      <c r="I221">
        <f>_xlfn.XLOOKUP(Table1[[#This Row],[Game]],Table14[Game],Table14[release_year])</f>
        <v>2022</v>
      </c>
    </row>
    <row r="222" spans="1:9" x14ac:dyDescent="0.3">
      <c r="A222" s="1">
        <v>210</v>
      </c>
      <c r="B222" t="s">
        <v>9</v>
      </c>
      <c r="C222" t="s">
        <v>224</v>
      </c>
      <c r="D222" t="s">
        <v>736</v>
      </c>
      <c r="E222" s="4">
        <v>0.97299999999999998</v>
      </c>
      <c r="F222" s="2" t="s">
        <v>1048</v>
      </c>
      <c r="G222" t="s">
        <v>1272</v>
      </c>
      <c r="H222">
        <f>IFERROR(_xlfn.XLOOKUP(Table1[[#This Row],[Marker]],Table2[Marker],Table2[ID]),-1)</f>
        <v>1</v>
      </c>
      <c r="I222">
        <f>_xlfn.XLOOKUP(Table1[[#This Row],[Game]],Table14[Game],Table14[release_year])</f>
        <v>2025</v>
      </c>
    </row>
    <row r="223" spans="1:9" x14ac:dyDescent="0.3">
      <c r="A223" s="1">
        <v>211</v>
      </c>
      <c r="B223" t="s">
        <v>9</v>
      </c>
      <c r="C223" t="s">
        <v>225</v>
      </c>
      <c r="D223" t="s">
        <v>737</v>
      </c>
      <c r="E223" s="4">
        <v>0.86599999999999999</v>
      </c>
      <c r="F223" s="2" t="s">
        <v>1049</v>
      </c>
      <c r="H223">
        <f>IFERROR(_xlfn.XLOOKUP(Table1[[#This Row],[Marker]],Table2[Marker],Table2[ID]),-1)</f>
        <v>-1</v>
      </c>
      <c r="I223">
        <f>_xlfn.XLOOKUP(Table1[[#This Row],[Game]],Table14[Game],Table14[release_year])</f>
        <v>2025</v>
      </c>
    </row>
    <row r="224" spans="1:9" x14ac:dyDescent="0.3">
      <c r="A224" s="1">
        <v>212</v>
      </c>
      <c r="B224" t="s">
        <v>9</v>
      </c>
      <c r="C224" t="s">
        <v>226</v>
      </c>
      <c r="D224" t="s">
        <v>738</v>
      </c>
      <c r="E224" s="4">
        <v>0.81099999999999994</v>
      </c>
      <c r="F224" t="s">
        <v>1041</v>
      </c>
      <c r="H224">
        <f>IFERROR(_xlfn.XLOOKUP(Table1[[#This Row],[Marker]],Table2[Marker],Table2[ID]),-1)</f>
        <v>-1</v>
      </c>
      <c r="I224">
        <f>_xlfn.XLOOKUP(Table1[[#This Row],[Game]],Table14[Game],Table14[release_year])</f>
        <v>2025</v>
      </c>
    </row>
    <row r="225" spans="1:9" x14ac:dyDescent="0.3">
      <c r="A225" s="1">
        <v>213</v>
      </c>
      <c r="B225" t="s">
        <v>9</v>
      </c>
      <c r="C225" t="s">
        <v>227</v>
      </c>
      <c r="D225" t="s">
        <v>739</v>
      </c>
      <c r="E225" s="4">
        <v>0.81</v>
      </c>
      <c r="F225" t="s">
        <v>1041</v>
      </c>
      <c r="H225">
        <f>IFERROR(_xlfn.XLOOKUP(Table1[[#This Row],[Marker]],Table2[Marker],Table2[ID]),-1)</f>
        <v>-1</v>
      </c>
      <c r="I225">
        <f>_xlfn.XLOOKUP(Table1[[#This Row],[Game]],Table14[Game],Table14[release_year])</f>
        <v>2025</v>
      </c>
    </row>
    <row r="226" spans="1:9" x14ac:dyDescent="0.3">
      <c r="A226" s="1">
        <v>214</v>
      </c>
      <c r="B226" t="s">
        <v>9</v>
      </c>
      <c r="C226" t="s">
        <v>228</v>
      </c>
      <c r="D226" t="s">
        <v>740</v>
      </c>
      <c r="E226" s="4">
        <v>0.80900000000000005</v>
      </c>
      <c r="F226" t="s">
        <v>1041</v>
      </c>
      <c r="G226" t="s">
        <v>1273</v>
      </c>
      <c r="H226">
        <f>IFERROR(_xlfn.XLOOKUP(Table1[[#This Row],[Marker]],Table2[Marker],Table2[ID]),-1)</f>
        <v>2</v>
      </c>
      <c r="I226">
        <f>_xlfn.XLOOKUP(Table1[[#This Row],[Game]],Table14[Game],Table14[release_year])</f>
        <v>2025</v>
      </c>
    </row>
    <row r="227" spans="1:9" x14ac:dyDescent="0.3">
      <c r="A227" s="1">
        <v>215</v>
      </c>
      <c r="B227" t="s">
        <v>9</v>
      </c>
      <c r="C227" t="s">
        <v>229</v>
      </c>
      <c r="D227" t="s">
        <v>741</v>
      </c>
      <c r="E227" s="4">
        <v>0.77200000000000002</v>
      </c>
      <c r="F227" t="s">
        <v>1041</v>
      </c>
      <c r="H227">
        <f>IFERROR(_xlfn.XLOOKUP(Table1[[#This Row],[Marker]],Table2[Marker],Table2[ID]),-1)</f>
        <v>-1</v>
      </c>
      <c r="I227">
        <f>_xlfn.XLOOKUP(Table1[[#This Row],[Game]],Table14[Game],Table14[release_year])</f>
        <v>2025</v>
      </c>
    </row>
    <row r="228" spans="1:9" x14ac:dyDescent="0.3">
      <c r="A228" s="1">
        <v>216</v>
      </c>
      <c r="B228" t="s">
        <v>9</v>
      </c>
      <c r="C228" t="s">
        <v>230</v>
      </c>
      <c r="D228" t="s">
        <v>742</v>
      </c>
      <c r="E228" s="4">
        <v>0.76300000000000001</v>
      </c>
      <c r="F228" t="s">
        <v>1041</v>
      </c>
      <c r="H228">
        <f>IFERROR(_xlfn.XLOOKUP(Table1[[#This Row],[Marker]],Table2[Marker],Table2[ID]),-1)</f>
        <v>-1</v>
      </c>
      <c r="I228">
        <f>_xlfn.XLOOKUP(Table1[[#This Row],[Game]],Table14[Game],Table14[release_year])</f>
        <v>2025</v>
      </c>
    </row>
    <row r="229" spans="1:9" x14ac:dyDescent="0.3">
      <c r="A229" s="1">
        <v>217</v>
      </c>
      <c r="B229" t="s">
        <v>9</v>
      </c>
      <c r="C229" t="s">
        <v>231</v>
      </c>
      <c r="D229" t="s">
        <v>743</v>
      </c>
      <c r="E229" s="4">
        <v>0.76</v>
      </c>
      <c r="F229" t="s">
        <v>1041</v>
      </c>
      <c r="H229">
        <f>IFERROR(_xlfn.XLOOKUP(Table1[[#This Row],[Marker]],Table2[Marker],Table2[ID]),-1)</f>
        <v>-1</v>
      </c>
      <c r="I229">
        <f>_xlfn.XLOOKUP(Table1[[#This Row],[Game]],Table14[Game],Table14[release_year])</f>
        <v>2025</v>
      </c>
    </row>
    <row r="230" spans="1:9" x14ac:dyDescent="0.3">
      <c r="A230" s="1">
        <v>218</v>
      </c>
      <c r="B230" t="s">
        <v>9</v>
      </c>
      <c r="C230" t="s">
        <v>232</v>
      </c>
      <c r="D230" t="s">
        <v>744</v>
      </c>
      <c r="E230" s="4">
        <v>0.68700000000000006</v>
      </c>
      <c r="F230" t="s">
        <v>1041</v>
      </c>
      <c r="G230" t="s">
        <v>1274</v>
      </c>
      <c r="H230">
        <f>IFERROR(_xlfn.XLOOKUP(Table1[[#This Row],[Marker]],Table2[Marker],Table2[ID]),-1)</f>
        <v>3</v>
      </c>
      <c r="I230">
        <f>_xlfn.XLOOKUP(Table1[[#This Row],[Game]],Table14[Game],Table14[release_year])</f>
        <v>2025</v>
      </c>
    </row>
    <row r="231" spans="1:9" x14ac:dyDescent="0.3">
      <c r="A231" s="1">
        <v>219</v>
      </c>
      <c r="B231" t="s">
        <v>9</v>
      </c>
      <c r="C231" t="s">
        <v>233</v>
      </c>
      <c r="D231" t="s">
        <v>745</v>
      </c>
      <c r="E231" s="4">
        <v>0.68099999999999994</v>
      </c>
      <c r="F231" t="s">
        <v>1041</v>
      </c>
      <c r="H231">
        <f>IFERROR(_xlfn.XLOOKUP(Table1[[#This Row],[Marker]],Table2[Marker],Table2[ID]),-1)</f>
        <v>-1</v>
      </c>
      <c r="I231">
        <f>_xlfn.XLOOKUP(Table1[[#This Row],[Game]],Table14[Game],Table14[release_year])</f>
        <v>2025</v>
      </c>
    </row>
    <row r="232" spans="1:9" x14ac:dyDescent="0.3">
      <c r="A232" s="1">
        <v>220</v>
      </c>
      <c r="B232" t="s">
        <v>9</v>
      </c>
      <c r="C232" t="s">
        <v>234</v>
      </c>
      <c r="D232" t="s">
        <v>746</v>
      </c>
      <c r="E232" s="4">
        <v>0.63900000000000001</v>
      </c>
      <c r="F232" t="s">
        <v>1041</v>
      </c>
      <c r="H232">
        <f>IFERROR(_xlfn.XLOOKUP(Table1[[#This Row],[Marker]],Table2[Marker],Table2[ID]),-1)</f>
        <v>-1</v>
      </c>
      <c r="I232">
        <f>_xlfn.XLOOKUP(Table1[[#This Row],[Game]],Table14[Game],Table14[release_year])</f>
        <v>2025</v>
      </c>
    </row>
    <row r="233" spans="1:9" x14ac:dyDescent="0.3">
      <c r="A233" s="1">
        <v>221</v>
      </c>
      <c r="B233" t="s">
        <v>9</v>
      </c>
      <c r="C233" t="s">
        <v>235</v>
      </c>
      <c r="D233" t="s">
        <v>747</v>
      </c>
      <c r="E233" s="4">
        <v>0.624</v>
      </c>
      <c r="F233" t="s">
        <v>1041</v>
      </c>
      <c r="H233">
        <f>IFERROR(_xlfn.XLOOKUP(Table1[[#This Row],[Marker]],Table2[Marker],Table2[ID]),-1)</f>
        <v>-1</v>
      </c>
      <c r="I233">
        <f>_xlfn.XLOOKUP(Table1[[#This Row],[Game]],Table14[Game],Table14[release_year])</f>
        <v>2025</v>
      </c>
    </row>
    <row r="234" spans="1:9" x14ac:dyDescent="0.3">
      <c r="A234" s="1">
        <v>222</v>
      </c>
      <c r="B234" t="s">
        <v>9</v>
      </c>
      <c r="C234" t="s">
        <v>236</v>
      </c>
      <c r="D234" t="s">
        <v>748</v>
      </c>
      <c r="E234" s="4">
        <v>0.61799999999999999</v>
      </c>
      <c r="F234" t="s">
        <v>1041</v>
      </c>
      <c r="H234">
        <f>IFERROR(_xlfn.XLOOKUP(Table1[[#This Row],[Marker]],Table2[Marker],Table2[ID]),-1)</f>
        <v>-1</v>
      </c>
      <c r="I234">
        <f>_xlfn.XLOOKUP(Table1[[#This Row],[Game]],Table14[Game],Table14[release_year])</f>
        <v>2025</v>
      </c>
    </row>
    <row r="235" spans="1:9" x14ac:dyDescent="0.3">
      <c r="A235" s="1">
        <v>223</v>
      </c>
      <c r="B235" t="s">
        <v>9</v>
      </c>
      <c r="C235" t="s">
        <v>237</v>
      </c>
      <c r="D235" t="s">
        <v>749</v>
      </c>
      <c r="E235" s="4">
        <v>0.61399999999999999</v>
      </c>
      <c r="F235" t="s">
        <v>1041</v>
      </c>
      <c r="H235">
        <f>IFERROR(_xlfn.XLOOKUP(Table1[[#This Row],[Marker]],Table2[Marker],Table2[ID]),-1)</f>
        <v>-1</v>
      </c>
      <c r="I235">
        <f>_xlfn.XLOOKUP(Table1[[#This Row],[Game]],Table14[Game],Table14[release_year])</f>
        <v>2025</v>
      </c>
    </row>
    <row r="236" spans="1:9" x14ac:dyDescent="0.3">
      <c r="A236" s="1">
        <v>224</v>
      </c>
      <c r="B236" t="s">
        <v>9</v>
      </c>
      <c r="C236" t="s">
        <v>238</v>
      </c>
      <c r="D236" t="s">
        <v>750</v>
      </c>
      <c r="E236" s="4">
        <v>0.60499999999999998</v>
      </c>
      <c r="F236" t="s">
        <v>1041</v>
      </c>
      <c r="H236">
        <f>IFERROR(_xlfn.XLOOKUP(Table1[[#This Row],[Marker]],Table2[Marker],Table2[ID]),-1)</f>
        <v>-1</v>
      </c>
      <c r="I236">
        <f>_xlfn.XLOOKUP(Table1[[#This Row],[Game]],Table14[Game],Table14[release_year])</f>
        <v>2025</v>
      </c>
    </row>
    <row r="237" spans="1:9" x14ac:dyDescent="0.3">
      <c r="A237" s="1">
        <v>225</v>
      </c>
      <c r="B237" t="s">
        <v>9</v>
      </c>
      <c r="C237" t="s">
        <v>239</v>
      </c>
      <c r="D237" t="s">
        <v>751</v>
      </c>
      <c r="E237" s="4">
        <v>0.57999999999999996</v>
      </c>
      <c r="F237" t="s">
        <v>1041</v>
      </c>
      <c r="H237">
        <f>IFERROR(_xlfn.XLOOKUP(Table1[[#This Row],[Marker]],Table2[Marker],Table2[ID]),-1)</f>
        <v>-1</v>
      </c>
      <c r="I237">
        <f>_xlfn.XLOOKUP(Table1[[#This Row],[Game]],Table14[Game],Table14[release_year])</f>
        <v>2025</v>
      </c>
    </row>
    <row r="238" spans="1:9" x14ac:dyDescent="0.3">
      <c r="A238" s="1">
        <v>226</v>
      </c>
      <c r="B238" t="s">
        <v>9</v>
      </c>
      <c r="C238" t="s">
        <v>240</v>
      </c>
      <c r="D238" t="s">
        <v>752</v>
      </c>
      <c r="E238" s="4">
        <v>0.57499999999999996</v>
      </c>
      <c r="F238" t="s">
        <v>1041</v>
      </c>
      <c r="G238" t="s">
        <v>1275</v>
      </c>
      <c r="H238">
        <f>IFERROR(_xlfn.XLOOKUP(Table1[[#This Row],[Marker]],Table2[Marker],Table2[ID]),-1)</f>
        <v>4</v>
      </c>
      <c r="I238">
        <f>_xlfn.XLOOKUP(Table1[[#This Row],[Game]],Table14[Game],Table14[release_year])</f>
        <v>2025</v>
      </c>
    </row>
    <row r="239" spans="1:9" x14ac:dyDescent="0.3">
      <c r="A239" s="1">
        <v>227</v>
      </c>
      <c r="B239" t="s">
        <v>9</v>
      </c>
      <c r="C239" t="s">
        <v>241</v>
      </c>
      <c r="D239" t="s">
        <v>753</v>
      </c>
      <c r="E239" s="4">
        <v>0.56999999999999995</v>
      </c>
      <c r="F239" t="s">
        <v>1041</v>
      </c>
      <c r="H239">
        <f>IFERROR(_xlfn.XLOOKUP(Table1[[#This Row],[Marker]],Table2[Marker],Table2[ID]),-1)</f>
        <v>-1</v>
      </c>
      <c r="I239">
        <f>_xlfn.XLOOKUP(Table1[[#This Row],[Game]],Table14[Game],Table14[release_year])</f>
        <v>2025</v>
      </c>
    </row>
    <row r="240" spans="1:9" x14ac:dyDescent="0.3">
      <c r="A240" s="1">
        <v>228</v>
      </c>
      <c r="B240" t="s">
        <v>9</v>
      </c>
      <c r="C240" t="s">
        <v>242</v>
      </c>
      <c r="D240" t="s">
        <v>754</v>
      </c>
      <c r="E240" s="4">
        <v>0.56799999999999995</v>
      </c>
      <c r="F240" t="s">
        <v>1041</v>
      </c>
      <c r="H240">
        <f>IFERROR(_xlfn.XLOOKUP(Table1[[#This Row],[Marker]],Table2[Marker],Table2[ID]),-1)</f>
        <v>-1</v>
      </c>
      <c r="I240">
        <f>_xlfn.XLOOKUP(Table1[[#This Row],[Game]],Table14[Game],Table14[release_year])</f>
        <v>2025</v>
      </c>
    </row>
    <row r="241" spans="1:9" x14ac:dyDescent="0.3">
      <c r="A241" s="1">
        <v>229</v>
      </c>
      <c r="B241" t="s">
        <v>9</v>
      </c>
      <c r="C241" t="s">
        <v>243</v>
      </c>
      <c r="D241" t="s">
        <v>755</v>
      </c>
      <c r="E241" s="4">
        <v>0.56200000000000006</v>
      </c>
      <c r="F241" t="s">
        <v>1041</v>
      </c>
      <c r="H241">
        <f>IFERROR(_xlfn.XLOOKUP(Table1[[#This Row],[Marker]],Table2[Marker],Table2[ID]),-1)</f>
        <v>-1</v>
      </c>
      <c r="I241">
        <f>_xlfn.XLOOKUP(Table1[[#This Row],[Game]],Table14[Game],Table14[release_year])</f>
        <v>2025</v>
      </c>
    </row>
    <row r="242" spans="1:9" x14ac:dyDescent="0.3">
      <c r="A242" s="1">
        <v>230</v>
      </c>
      <c r="B242" t="s">
        <v>9</v>
      </c>
      <c r="C242" t="s">
        <v>244</v>
      </c>
      <c r="D242" t="s">
        <v>756</v>
      </c>
      <c r="E242" s="4">
        <v>0.56100000000000005</v>
      </c>
      <c r="F242" t="s">
        <v>1041</v>
      </c>
      <c r="H242">
        <f>IFERROR(_xlfn.XLOOKUP(Table1[[#This Row],[Marker]],Table2[Marker],Table2[ID]),-1)</f>
        <v>-1</v>
      </c>
      <c r="I242">
        <f>_xlfn.XLOOKUP(Table1[[#This Row],[Game]],Table14[Game],Table14[release_year])</f>
        <v>2025</v>
      </c>
    </row>
    <row r="243" spans="1:9" x14ac:dyDescent="0.3">
      <c r="A243" s="1">
        <v>231</v>
      </c>
      <c r="B243" t="s">
        <v>9</v>
      </c>
      <c r="C243" t="s">
        <v>245</v>
      </c>
      <c r="D243" t="s">
        <v>757</v>
      </c>
      <c r="E243" s="4">
        <v>0.54899999999999993</v>
      </c>
      <c r="F243" t="s">
        <v>1041</v>
      </c>
      <c r="H243">
        <f>IFERROR(_xlfn.XLOOKUP(Table1[[#This Row],[Marker]],Table2[Marker],Table2[ID]),-1)</f>
        <v>-1</v>
      </c>
      <c r="I243">
        <f>_xlfn.XLOOKUP(Table1[[#This Row],[Game]],Table14[Game],Table14[release_year])</f>
        <v>2025</v>
      </c>
    </row>
    <row r="244" spans="1:9" x14ac:dyDescent="0.3">
      <c r="A244" s="1">
        <v>232</v>
      </c>
      <c r="B244" t="s">
        <v>9</v>
      </c>
      <c r="C244" t="s">
        <v>246</v>
      </c>
      <c r="D244" t="s">
        <v>758</v>
      </c>
      <c r="E244" s="4">
        <v>0.54200000000000004</v>
      </c>
      <c r="F244" t="s">
        <v>1041</v>
      </c>
      <c r="H244">
        <f>IFERROR(_xlfn.XLOOKUP(Table1[[#This Row],[Marker]],Table2[Marker],Table2[ID]),-1)</f>
        <v>-1</v>
      </c>
      <c r="I244">
        <f>_xlfn.XLOOKUP(Table1[[#This Row],[Game]],Table14[Game],Table14[release_year])</f>
        <v>2025</v>
      </c>
    </row>
    <row r="245" spans="1:9" x14ac:dyDescent="0.3">
      <c r="A245" s="1">
        <v>233</v>
      </c>
      <c r="B245" t="s">
        <v>9</v>
      </c>
      <c r="C245" t="s">
        <v>247</v>
      </c>
      <c r="D245" t="s">
        <v>759</v>
      </c>
      <c r="E245" s="4">
        <v>0.54</v>
      </c>
      <c r="F245" t="s">
        <v>1041</v>
      </c>
      <c r="H245">
        <f>IFERROR(_xlfn.XLOOKUP(Table1[[#This Row],[Marker]],Table2[Marker],Table2[ID]),-1)</f>
        <v>-1</v>
      </c>
      <c r="I245">
        <f>_xlfn.XLOOKUP(Table1[[#This Row],[Game]],Table14[Game],Table14[release_year])</f>
        <v>2025</v>
      </c>
    </row>
    <row r="246" spans="1:9" x14ac:dyDescent="0.3">
      <c r="A246" s="1">
        <v>234</v>
      </c>
      <c r="B246" t="s">
        <v>9</v>
      </c>
      <c r="C246" t="s">
        <v>248</v>
      </c>
      <c r="D246" t="s">
        <v>760</v>
      </c>
      <c r="E246" s="4">
        <v>0.53200000000000003</v>
      </c>
      <c r="F246" t="s">
        <v>1041</v>
      </c>
      <c r="H246">
        <f>IFERROR(_xlfn.XLOOKUP(Table1[[#This Row],[Marker]],Table2[Marker],Table2[ID]),-1)</f>
        <v>-1</v>
      </c>
      <c r="I246">
        <f>_xlfn.XLOOKUP(Table1[[#This Row],[Game]],Table14[Game],Table14[release_year])</f>
        <v>2025</v>
      </c>
    </row>
    <row r="247" spans="1:9" x14ac:dyDescent="0.3">
      <c r="A247" s="1">
        <v>235</v>
      </c>
      <c r="B247" t="s">
        <v>9</v>
      </c>
      <c r="C247" t="s">
        <v>249</v>
      </c>
      <c r="D247" t="s">
        <v>761</v>
      </c>
      <c r="E247" s="4">
        <v>0.52800000000000002</v>
      </c>
      <c r="F247" t="s">
        <v>1041</v>
      </c>
      <c r="G247" t="s">
        <v>1276</v>
      </c>
      <c r="H247">
        <f>IFERROR(_xlfn.XLOOKUP(Table1[[#This Row],[Marker]],Table2[Marker],Table2[ID]),-1)</f>
        <v>5</v>
      </c>
      <c r="I247">
        <f>_xlfn.XLOOKUP(Table1[[#This Row],[Game]],Table14[Game],Table14[release_year])</f>
        <v>2025</v>
      </c>
    </row>
    <row r="248" spans="1:9" x14ac:dyDescent="0.3">
      <c r="A248" s="1">
        <v>236</v>
      </c>
      <c r="B248" t="s">
        <v>9</v>
      </c>
      <c r="C248" t="s">
        <v>250</v>
      </c>
      <c r="D248" t="s">
        <v>762</v>
      </c>
      <c r="E248" s="4">
        <v>0.52700000000000002</v>
      </c>
      <c r="F248" t="s">
        <v>1041</v>
      </c>
      <c r="H248">
        <f>IFERROR(_xlfn.XLOOKUP(Table1[[#This Row],[Marker]],Table2[Marker],Table2[ID]),-1)</f>
        <v>-1</v>
      </c>
      <c r="I248">
        <f>_xlfn.XLOOKUP(Table1[[#This Row],[Game]],Table14[Game],Table14[release_year])</f>
        <v>2025</v>
      </c>
    </row>
    <row r="249" spans="1:9" x14ac:dyDescent="0.3">
      <c r="A249" s="1">
        <v>237</v>
      </c>
      <c r="B249" t="s">
        <v>9</v>
      </c>
      <c r="C249" t="s">
        <v>251</v>
      </c>
      <c r="D249" t="s">
        <v>763</v>
      </c>
      <c r="E249" s="4">
        <v>0.501</v>
      </c>
      <c r="F249" t="s">
        <v>1041</v>
      </c>
      <c r="H249">
        <f>IFERROR(_xlfn.XLOOKUP(Table1[[#This Row],[Marker]],Table2[Marker],Table2[ID]),-1)</f>
        <v>-1</v>
      </c>
      <c r="I249">
        <f>_xlfn.XLOOKUP(Table1[[#This Row],[Game]],Table14[Game],Table14[release_year])</f>
        <v>2025</v>
      </c>
    </row>
    <row r="250" spans="1:9" x14ac:dyDescent="0.3">
      <c r="A250" s="1">
        <v>238</v>
      </c>
      <c r="B250" t="s">
        <v>9</v>
      </c>
      <c r="C250" t="s">
        <v>252</v>
      </c>
      <c r="D250" t="s">
        <v>764</v>
      </c>
      <c r="E250" s="4">
        <v>0.49200000000000005</v>
      </c>
      <c r="F250" t="s">
        <v>1041</v>
      </c>
      <c r="H250">
        <f>IFERROR(_xlfn.XLOOKUP(Table1[[#This Row],[Marker]],Table2[Marker],Table2[ID]),-1)</f>
        <v>-1</v>
      </c>
      <c r="I250">
        <f>_xlfn.XLOOKUP(Table1[[#This Row],[Game]],Table14[Game],Table14[release_year])</f>
        <v>2025</v>
      </c>
    </row>
    <row r="251" spans="1:9" x14ac:dyDescent="0.3">
      <c r="A251" s="1">
        <v>239</v>
      </c>
      <c r="B251" t="s">
        <v>9</v>
      </c>
      <c r="C251" t="s">
        <v>253</v>
      </c>
      <c r="D251" t="s">
        <v>765</v>
      </c>
      <c r="E251" s="4">
        <v>0.48700000000000004</v>
      </c>
      <c r="F251" t="s">
        <v>1041</v>
      </c>
      <c r="H251">
        <f>IFERROR(_xlfn.XLOOKUP(Table1[[#This Row],[Marker]],Table2[Marker],Table2[ID]),-1)</f>
        <v>-1</v>
      </c>
      <c r="I251">
        <f>_xlfn.XLOOKUP(Table1[[#This Row],[Game]],Table14[Game],Table14[release_year])</f>
        <v>2025</v>
      </c>
    </row>
    <row r="252" spans="1:9" x14ac:dyDescent="0.3">
      <c r="A252" s="1">
        <v>240</v>
      </c>
      <c r="B252" t="s">
        <v>9</v>
      </c>
      <c r="C252" t="s">
        <v>254</v>
      </c>
      <c r="D252" t="s">
        <v>766</v>
      </c>
      <c r="E252" s="4">
        <v>0.47399999999999998</v>
      </c>
      <c r="F252" t="s">
        <v>1041</v>
      </c>
      <c r="H252">
        <f>IFERROR(_xlfn.XLOOKUP(Table1[[#This Row],[Marker]],Table2[Marker],Table2[ID]),-1)</f>
        <v>-1</v>
      </c>
      <c r="I252">
        <f>_xlfn.XLOOKUP(Table1[[#This Row],[Game]],Table14[Game],Table14[release_year])</f>
        <v>2025</v>
      </c>
    </row>
    <row r="253" spans="1:9" x14ac:dyDescent="0.3">
      <c r="A253" s="1">
        <v>241</v>
      </c>
      <c r="B253" t="s">
        <v>9</v>
      </c>
      <c r="C253" t="s">
        <v>255</v>
      </c>
      <c r="D253" t="s">
        <v>767</v>
      </c>
      <c r="E253" s="4">
        <v>0.46200000000000002</v>
      </c>
      <c r="F253" t="s">
        <v>1041</v>
      </c>
      <c r="H253">
        <f>IFERROR(_xlfn.XLOOKUP(Table1[[#This Row],[Marker]],Table2[Marker],Table2[ID]),-1)</f>
        <v>-1</v>
      </c>
      <c r="I253">
        <f>_xlfn.XLOOKUP(Table1[[#This Row],[Game]],Table14[Game],Table14[release_year])</f>
        <v>2025</v>
      </c>
    </row>
    <row r="254" spans="1:9" x14ac:dyDescent="0.3">
      <c r="A254" s="1">
        <v>242</v>
      </c>
      <c r="B254" t="s">
        <v>9</v>
      </c>
      <c r="C254" t="s">
        <v>256</v>
      </c>
      <c r="D254" t="s">
        <v>768</v>
      </c>
      <c r="E254" s="4">
        <v>0.46200000000000002</v>
      </c>
      <c r="F254" t="s">
        <v>1041</v>
      </c>
      <c r="H254">
        <f>IFERROR(_xlfn.XLOOKUP(Table1[[#This Row],[Marker]],Table2[Marker],Table2[ID]),-1)</f>
        <v>-1</v>
      </c>
      <c r="I254">
        <f>_xlfn.XLOOKUP(Table1[[#This Row],[Game]],Table14[Game],Table14[release_year])</f>
        <v>2025</v>
      </c>
    </row>
    <row r="255" spans="1:9" x14ac:dyDescent="0.3">
      <c r="A255" s="1">
        <v>243</v>
      </c>
      <c r="B255" t="s">
        <v>9</v>
      </c>
      <c r="C255" t="s">
        <v>257</v>
      </c>
      <c r="D255" t="s">
        <v>769</v>
      </c>
      <c r="E255" s="4">
        <v>0.374</v>
      </c>
      <c r="F255" t="s">
        <v>1041</v>
      </c>
      <c r="H255">
        <f>IFERROR(_xlfn.XLOOKUP(Table1[[#This Row],[Marker]],Table2[Marker],Table2[ID]),-1)</f>
        <v>-1</v>
      </c>
      <c r="I255">
        <f>_xlfn.XLOOKUP(Table1[[#This Row],[Game]],Table14[Game],Table14[release_year])</f>
        <v>2025</v>
      </c>
    </row>
    <row r="256" spans="1:9" x14ac:dyDescent="0.3">
      <c r="A256" s="1">
        <v>244</v>
      </c>
      <c r="B256" t="s">
        <v>9</v>
      </c>
      <c r="C256" t="s">
        <v>258</v>
      </c>
      <c r="D256" t="s">
        <v>770</v>
      </c>
      <c r="E256" s="4">
        <v>0.29299999999999998</v>
      </c>
      <c r="F256" t="s">
        <v>1041</v>
      </c>
      <c r="H256">
        <f>IFERROR(_xlfn.XLOOKUP(Table1[[#This Row],[Marker]],Table2[Marker],Table2[ID]),-1)</f>
        <v>-1</v>
      </c>
      <c r="I256">
        <f>_xlfn.XLOOKUP(Table1[[#This Row],[Game]],Table14[Game],Table14[release_year])</f>
        <v>2025</v>
      </c>
    </row>
    <row r="257" spans="1:9" x14ac:dyDescent="0.3">
      <c r="A257" s="1">
        <v>245</v>
      </c>
      <c r="B257" t="s">
        <v>9</v>
      </c>
      <c r="C257" t="s">
        <v>259</v>
      </c>
      <c r="D257" t="s">
        <v>771</v>
      </c>
      <c r="E257" s="4">
        <v>0.18100000000000002</v>
      </c>
      <c r="F257" t="s">
        <v>1041</v>
      </c>
      <c r="H257">
        <f>IFERROR(_xlfn.XLOOKUP(Table1[[#This Row],[Marker]],Table2[Marker],Table2[ID]),-1)</f>
        <v>-1</v>
      </c>
      <c r="I257">
        <f>_xlfn.XLOOKUP(Table1[[#This Row],[Game]],Table14[Game],Table14[release_year])</f>
        <v>2025</v>
      </c>
    </row>
    <row r="258" spans="1:9" x14ac:dyDescent="0.3">
      <c r="A258" s="1">
        <v>246</v>
      </c>
      <c r="B258" t="s">
        <v>9</v>
      </c>
      <c r="C258" t="s">
        <v>260</v>
      </c>
      <c r="D258" t="s">
        <v>772</v>
      </c>
      <c r="E258" s="4">
        <v>0.157</v>
      </c>
      <c r="F258" t="s">
        <v>1041</v>
      </c>
      <c r="H258">
        <f>IFERROR(_xlfn.XLOOKUP(Table1[[#This Row],[Marker]],Table2[Marker],Table2[ID]),-1)</f>
        <v>-1</v>
      </c>
      <c r="I258">
        <f>_xlfn.XLOOKUP(Table1[[#This Row],[Game]],Table14[Game],Table14[release_year])</f>
        <v>2025</v>
      </c>
    </row>
    <row r="259" spans="1:9" x14ac:dyDescent="0.3">
      <c r="A259" s="1">
        <v>423</v>
      </c>
      <c r="B259" t="s">
        <v>13</v>
      </c>
      <c r="C259" t="s">
        <v>427</v>
      </c>
      <c r="D259" t="s">
        <v>942</v>
      </c>
      <c r="E259" s="4">
        <v>0.81900000000000006</v>
      </c>
      <c r="F259" s="2" t="s">
        <v>1056</v>
      </c>
      <c r="G259" t="s">
        <v>1273</v>
      </c>
      <c r="H259">
        <f>IFERROR(_xlfn.XLOOKUP(Table1[[#This Row],[Marker]],Table2[Marker],Table2[ID]),-1)</f>
        <v>2</v>
      </c>
      <c r="I259">
        <f>_xlfn.XLOOKUP(Table1[[#This Row],[Game]],Table14[Game],Table14[release_year])</f>
        <v>2020</v>
      </c>
    </row>
    <row r="260" spans="1:9" x14ac:dyDescent="0.3">
      <c r="A260" s="1">
        <v>424</v>
      </c>
      <c r="B260" t="s">
        <v>13</v>
      </c>
      <c r="C260" t="s">
        <v>428</v>
      </c>
      <c r="D260" t="s">
        <v>943</v>
      </c>
      <c r="E260" s="4">
        <v>0.72299999999999998</v>
      </c>
      <c r="F260" t="s">
        <v>1041</v>
      </c>
      <c r="G260" t="s">
        <v>1274</v>
      </c>
      <c r="H260">
        <f>IFERROR(_xlfn.XLOOKUP(Table1[[#This Row],[Marker]],Table2[Marker],Table2[ID]),-1)</f>
        <v>3</v>
      </c>
      <c r="I260">
        <f>_xlfn.XLOOKUP(Table1[[#This Row],[Game]],Table14[Game],Table14[release_year])</f>
        <v>2020</v>
      </c>
    </row>
    <row r="261" spans="1:9" x14ac:dyDescent="0.3">
      <c r="A261" s="1">
        <v>425</v>
      </c>
      <c r="B261" t="s">
        <v>13</v>
      </c>
      <c r="C261" t="s">
        <v>429</v>
      </c>
      <c r="D261" t="s">
        <v>944</v>
      </c>
      <c r="E261" s="4">
        <v>0.624</v>
      </c>
      <c r="F261" t="s">
        <v>1041</v>
      </c>
      <c r="H261">
        <f>IFERROR(_xlfn.XLOOKUP(Table1[[#This Row],[Marker]],Table2[Marker],Table2[ID]),-1)</f>
        <v>-1</v>
      </c>
      <c r="I261">
        <f>_xlfn.XLOOKUP(Table1[[#This Row],[Game]],Table14[Game],Table14[release_year])</f>
        <v>2020</v>
      </c>
    </row>
    <row r="262" spans="1:9" x14ac:dyDescent="0.3">
      <c r="A262" s="1">
        <v>426</v>
      </c>
      <c r="B262" t="s">
        <v>13</v>
      </c>
      <c r="C262" t="s">
        <v>430</v>
      </c>
      <c r="D262" t="s">
        <v>945</v>
      </c>
      <c r="E262" s="4">
        <v>0.623</v>
      </c>
      <c r="F262" t="s">
        <v>1041</v>
      </c>
      <c r="H262">
        <f>IFERROR(_xlfn.XLOOKUP(Table1[[#This Row],[Marker]],Table2[Marker],Table2[ID]),-1)</f>
        <v>-1</v>
      </c>
      <c r="I262">
        <f>_xlfn.XLOOKUP(Table1[[#This Row],[Game]],Table14[Game],Table14[release_year])</f>
        <v>2020</v>
      </c>
    </row>
    <row r="263" spans="1:9" x14ac:dyDescent="0.3">
      <c r="A263" s="1">
        <v>427</v>
      </c>
      <c r="B263" t="s">
        <v>13</v>
      </c>
      <c r="C263" t="s">
        <v>431</v>
      </c>
      <c r="D263" t="s">
        <v>946</v>
      </c>
      <c r="E263" s="4">
        <v>0.58899999999999997</v>
      </c>
      <c r="F263" t="s">
        <v>1041</v>
      </c>
      <c r="G263" t="s">
        <v>1275</v>
      </c>
      <c r="H263">
        <f>IFERROR(_xlfn.XLOOKUP(Table1[[#This Row],[Marker]],Table2[Marker],Table2[ID]),-1)</f>
        <v>4</v>
      </c>
      <c r="I263">
        <f>_xlfn.XLOOKUP(Table1[[#This Row],[Game]],Table14[Game],Table14[release_year])</f>
        <v>2020</v>
      </c>
    </row>
    <row r="264" spans="1:9" x14ac:dyDescent="0.3">
      <c r="A264" s="1">
        <v>428</v>
      </c>
      <c r="B264" t="s">
        <v>13</v>
      </c>
      <c r="C264" t="s">
        <v>432</v>
      </c>
      <c r="D264" t="s">
        <v>947</v>
      </c>
      <c r="E264" s="4">
        <v>0.56100000000000005</v>
      </c>
      <c r="F264" t="s">
        <v>1041</v>
      </c>
      <c r="H264">
        <f>IFERROR(_xlfn.XLOOKUP(Table1[[#This Row],[Marker]],Table2[Marker],Table2[ID]),-1)</f>
        <v>-1</v>
      </c>
      <c r="I264">
        <f>_xlfn.XLOOKUP(Table1[[#This Row],[Game]],Table14[Game],Table14[release_year])</f>
        <v>2020</v>
      </c>
    </row>
    <row r="265" spans="1:9" x14ac:dyDescent="0.3">
      <c r="A265" s="1">
        <v>429</v>
      </c>
      <c r="B265" t="s">
        <v>13</v>
      </c>
      <c r="C265" t="s">
        <v>433</v>
      </c>
      <c r="D265" t="s">
        <v>948</v>
      </c>
      <c r="E265" s="4">
        <v>0.46799999999999997</v>
      </c>
      <c r="F265" t="s">
        <v>1041</v>
      </c>
      <c r="G265" t="s">
        <v>1276</v>
      </c>
      <c r="H265">
        <f>IFERROR(_xlfn.XLOOKUP(Table1[[#This Row],[Marker]],Table2[Marker],Table2[ID]),-1)</f>
        <v>5</v>
      </c>
      <c r="I265">
        <f>_xlfn.XLOOKUP(Table1[[#This Row],[Game]],Table14[Game],Table14[release_year])</f>
        <v>2020</v>
      </c>
    </row>
    <row r="266" spans="1:9" x14ac:dyDescent="0.3">
      <c r="A266" s="1">
        <v>430</v>
      </c>
      <c r="B266" t="s">
        <v>13</v>
      </c>
      <c r="C266" t="s">
        <v>434</v>
      </c>
      <c r="D266" t="s">
        <v>949</v>
      </c>
      <c r="E266" s="4">
        <v>0.42700000000000005</v>
      </c>
      <c r="F266" t="s">
        <v>1041</v>
      </c>
      <c r="H266">
        <f>IFERROR(_xlfn.XLOOKUP(Table1[[#This Row],[Marker]],Table2[Marker],Table2[ID]),-1)</f>
        <v>-1</v>
      </c>
      <c r="I266">
        <f>_xlfn.XLOOKUP(Table1[[#This Row],[Game]],Table14[Game],Table14[release_year])</f>
        <v>2020</v>
      </c>
    </row>
    <row r="267" spans="1:9" x14ac:dyDescent="0.3">
      <c r="A267" s="1">
        <v>431</v>
      </c>
      <c r="B267" t="s">
        <v>13</v>
      </c>
      <c r="C267" t="s">
        <v>435</v>
      </c>
      <c r="D267" t="s">
        <v>950</v>
      </c>
      <c r="E267" s="4">
        <v>0.40399999999999997</v>
      </c>
      <c r="F267" t="s">
        <v>1041</v>
      </c>
      <c r="H267">
        <f>IFERROR(_xlfn.XLOOKUP(Table1[[#This Row],[Marker]],Table2[Marker],Table2[ID]),-1)</f>
        <v>-1</v>
      </c>
      <c r="I267">
        <f>_xlfn.XLOOKUP(Table1[[#This Row],[Game]],Table14[Game],Table14[release_year])</f>
        <v>2020</v>
      </c>
    </row>
    <row r="268" spans="1:9" x14ac:dyDescent="0.3">
      <c r="A268" s="1">
        <v>432</v>
      </c>
      <c r="B268" t="s">
        <v>13</v>
      </c>
      <c r="C268" t="s">
        <v>436</v>
      </c>
      <c r="D268" t="s">
        <v>951</v>
      </c>
      <c r="E268" s="4">
        <v>0.39700000000000002</v>
      </c>
      <c r="F268" t="s">
        <v>1041</v>
      </c>
      <c r="H268">
        <f>IFERROR(_xlfn.XLOOKUP(Table1[[#This Row],[Marker]],Table2[Marker],Table2[ID]),-1)</f>
        <v>-1</v>
      </c>
      <c r="I268">
        <f>_xlfn.XLOOKUP(Table1[[#This Row],[Game]],Table14[Game],Table14[release_year])</f>
        <v>2020</v>
      </c>
    </row>
    <row r="269" spans="1:9" x14ac:dyDescent="0.3">
      <c r="A269" s="1">
        <v>433</v>
      </c>
      <c r="B269" t="s">
        <v>13</v>
      </c>
      <c r="C269" t="s">
        <v>437</v>
      </c>
      <c r="D269" t="s">
        <v>952</v>
      </c>
      <c r="E269" s="4">
        <v>0.35299999999999998</v>
      </c>
      <c r="F269" t="s">
        <v>1041</v>
      </c>
      <c r="H269">
        <f>IFERROR(_xlfn.XLOOKUP(Table1[[#This Row],[Marker]],Table2[Marker],Table2[ID]),-1)</f>
        <v>-1</v>
      </c>
      <c r="I269">
        <f>_xlfn.XLOOKUP(Table1[[#This Row],[Game]],Table14[Game],Table14[release_year])</f>
        <v>2020</v>
      </c>
    </row>
    <row r="270" spans="1:9" x14ac:dyDescent="0.3">
      <c r="A270" s="1">
        <v>434</v>
      </c>
      <c r="B270" t="s">
        <v>13</v>
      </c>
      <c r="C270" t="s">
        <v>438</v>
      </c>
      <c r="D270" t="s">
        <v>953</v>
      </c>
      <c r="E270" s="4">
        <v>0.34899999999999998</v>
      </c>
      <c r="F270" t="s">
        <v>1041</v>
      </c>
      <c r="H270">
        <f>IFERROR(_xlfn.XLOOKUP(Table1[[#This Row],[Marker]],Table2[Marker],Table2[ID]),-1)</f>
        <v>-1</v>
      </c>
      <c r="I270">
        <f>_xlfn.XLOOKUP(Table1[[#This Row],[Game]],Table14[Game],Table14[release_year])</f>
        <v>2020</v>
      </c>
    </row>
    <row r="271" spans="1:9" x14ac:dyDescent="0.3">
      <c r="A271" s="1">
        <v>435</v>
      </c>
      <c r="B271" t="s">
        <v>13</v>
      </c>
      <c r="C271" t="s">
        <v>439</v>
      </c>
      <c r="D271" t="s">
        <v>954</v>
      </c>
      <c r="E271" s="4">
        <v>0.34499999999999997</v>
      </c>
      <c r="F271" t="s">
        <v>1041</v>
      </c>
      <c r="H271">
        <f>IFERROR(_xlfn.XLOOKUP(Table1[[#This Row],[Marker]],Table2[Marker],Table2[ID]),-1)</f>
        <v>-1</v>
      </c>
      <c r="I271">
        <f>_xlfn.XLOOKUP(Table1[[#This Row],[Game]],Table14[Game],Table14[release_year])</f>
        <v>2020</v>
      </c>
    </row>
    <row r="272" spans="1:9" x14ac:dyDescent="0.3">
      <c r="A272" s="1">
        <v>436</v>
      </c>
      <c r="B272" t="s">
        <v>13</v>
      </c>
      <c r="C272" t="s">
        <v>440</v>
      </c>
      <c r="D272" t="s">
        <v>955</v>
      </c>
      <c r="E272" s="4">
        <v>0.33100000000000002</v>
      </c>
      <c r="F272" t="s">
        <v>1041</v>
      </c>
      <c r="H272">
        <f>IFERROR(_xlfn.XLOOKUP(Table1[[#This Row],[Marker]],Table2[Marker],Table2[ID]),-1)</f>
        <v>-1</v>
      </c>
      <c r="I272">
        <f>_xlfn.XLOOKUP(Table1[[#This Row],[Game]],Table14[Game],Table14[release_year])</f>
        <v>2020</v>
      </c>
    </row>
    <row r="273" spans="1:9" x14ac:dyDescent="0.3">
      <c r="A273" s="1">
        <v>437</v>
      </c>
      <c r="B273" t="s">
        <v>13</v>
      </c>
      <c r="C273" t="s">
        <v>441</v>
      </c>
      <c r="D273" t="s">
        <v>956</v>
      </c>
      <c r="E273" s="4">
        <v>0.318</v>
      </c>
      <c r="F273" t="s">
        <v>1041</v>
      </c>
      <c r="H273">
        <f>IFERROR(_xlfn.XLOOKUP(Table1[[#This Row],[Marker]],Table2[Marker],Table2[ID]),-1)</f>
        <v>-1</v>
      </c>
      <c r="I273">
        <f>_xlfn.XLOOKUP(Table1[[#This Row],[Game]],Table14[Game],Table14[release_year])</f>
        <v>2020</v>
      </c>
    </row>
    <row r="274" spans="1:9" x14ac:dyDescent="0.3">
      <c r="A274" s="1">
        <v>438</v>
      </c>
      <c r="B274" t="s">
        <v>13</v>
      </c>
      <c r="C274" t="s">
        <v>442</v>
      </c>
      <c r="D274" t="s">
        <v>957</v>
      </c>
      <c r="E274" s="4">
        <v>0.316</v>
      </c>
      <c r="F274" t="s">
        <v>1041</v>
      </c>
      <c r="H274">
        <f>IFERROR(_xlfn.XLOOKUP(Table1[[#This Row],[Marker]],Table2[Marker],Table2[ID]),-1)</f>
        <v>-1</v>
      </c>
      <c r="I274">
        <f>_xlfn.XLOOKUP(Table1[[#This Row],[Game]],Table14[Game],Table14[release_year])</f>
        <v>2020</v>
      </c>
    </row>
    <row r="275" spans="1:9" x14ac:dyDescent="0.3">
      <c r="A275" s="1">
        <v>439</v>
      </c>
      <c r="B275" t="s">
        <v>13</v>
      </c>
      <c r="C275" t="s">
        <v>443</v>
      </c>
      <c r="D275" t="s">
        <v>958</v>
      </c>
      <c r="E275" s="4">
        <v>0.26300000000000001</v>
      </c>
      <c r="F275" t="s">
        <v>1041</v>
      </c>
      <c r="H275">
        <f>IFERROR(_xlfn.XLOOKUP(Table1[[#This Row],[Marker]],Table2[Marker],Table2[ID]),-1)</f>
        <v>-1</v>
      </c>
      <c r="I275">
        <f>_xlfn.XLOOKUP(Table1[[#This Row],[Game]],Table14[Game],Table14[release_year])</f>
        <v>2020</v>
      </c>
    </row>
    <row r="276" spans="1:9" x14ac:dyDescent="0.3">
      <c r="A276" s="1">
        <v>440</v>
      </c>
      <c r="B276" t="s">
        <v>13</v>
      </c>
      <c r="C276" t="s">
        <v>444</v>
      </c>
      <c r="D276" t="s">
        <v>959</v>
      </c>
      <c r="E276" s="4">
        <v>0.252</v>
      </c>
      <c r="F276" t="s">
        <v>1041</v>
      </c>
      <c r="H276">
        <f>IFERROR(_xlfn.XLOOKUP(Table1[[#This Row],[Marker]],Table2[Marker],Table2[ID]),-1)</f>
        <v>-1</v>
      </c>
      <c r="I276">
        <f>_xlfn.XLOOKUP(Table1[[#This Row],[Game]],Table14[Game],Table14[release_year])</f>
        <v>2020</v>
      </c>
    </row>
    <row r="277" spans="1:9" x14ac:dyDescent="0.3">
      <c r="A277" s="1">
        <v>441</v>
      </c>
      <c r="B277" t="s">
        <v>13</v>
      </c>
      <c r="C277" t="s">
        <v>445</v>
      </c>
      <c r="D277" t="s">
        <v>960</v>
      </c>
      <c r="E277" s="4">
        <v>0.23800000000000002</v>
      </c>
      <c r="F277" t="s">
        <v>1041</v>
      </c>
      <c r="H277">
        <f>IFERROR(_xlfn.XLOOKUP(Table1[[#This Row],[Marker]],Table2[Marker],Table2[ID]),-1)</f>
        <v>-1</v>
      </c>
      <c r="I277">
        <f>_xlfn.XLOOKUP(Table1[[#This Row],[Game]],Table14[Game],Table14[release_year])</f>
        <v>2020</v>
      </c>
    </row>
    <row r="278" spans="1:9" x14ac:dyDescent="0.3">
      <c r="A278" s="1">
        <v>442</v>
      </c>
      <c r="B278" t="s">
        <v>13</v>
      </c>
      <c r="C278" t="s">
        <v>446</v>
      </c>
      <c r="D278" t="s">
        <v>961</v>
      </c>
      <c r="E278" s="4">
        <v>0.23399999999999999</v>
      </c>
      <c r="F278" t="s">
        <v>1041</v>
      </c>
      <c r="H278">
        <f>IFERROR(_xlfn.XLOOKUP(Table1[[#This Row],[Marker]],Table2[Marker],Table2[ID]),-1)</f>
        <v>-1</v>
      </c>
      <c r="I278">
        <f>_xlfn.XLOOKUP(Table1[[#This Row],[Game]],Table14[Game],Table14[release_year])</f>
        <v>2020</v>
      </c>
    </row>
    <row r="279" spans="1:9" x14ac:dyDescent="0.3">
      <c r="A279" s="1">
        <v>443</v>
      </c>
      <c r="B279" t="s">
        <v>13</v>
      </c>
      <c r="C279" t="s">
        <v>447</v>
      </c>
      <c r="D279" t="s">
        <v>962</v>
      </c>
      <c r="E279" s="4">
        <v>0.222</v>
      </c>
      <c r="F279" t="s">
        <v>1041</v>
      </c>
      <c r="H279">
        <f>IFERROR(_xlfn.XLOOKUP(Table1[[#This Row],[Marker]],Table2[Marker],Table2[ID]),-1)</f>
        <v>-1</v>
      </c>
      <c r="I279">
        <f>_xlfn.XLOOKUP(Table1[[#This Row],[Game]],Table14[Game],Table14[release_year])</f>
        <v>2020</v>
      </c>
    </row>
    <row r="280" spans="1:9" x14ac:dyDescent="0.3">
      <c r="A280" s="1">
        <v>444</v>
      </c>
      <c r="B280" t="s">
        <v>13</v>
      </c>
      <c r="C280" t="s">
        <v>448</v>
      </c>
      <c r="D280" t="s">
        <v>963</v>
      </c>
      <c r="E280" s="4">
        <v>0.222</v>
      </c>
      <c r="F280" t="s">
        <v>1041</v>
      </c>
      <c r="H280">
        <f>IFERROR(_xlfn.XLOOKUP(Table1[[#This Row],[Marker]],Table2[Marker],Table2[ID]),-1)</f>
        <v>-1</v>
      </c>
      <c r="I280">
        <f>_xlfn.XLOOKUP(Table1[[#This Row],[Game]],Table14[Game],Table14[release_year])</f>
        <v>2020</v>
      </c>
    </row>
    <row r="281" spans="1:9" x14ac:dyDescent="0.3">
      <c r="A281" s="1">
        <v>445</v>
      </c>
      <c r="B281" t="s">
        <v>13</v>
      </c>
      <c r="C281" t="s">
        <v>449</v>
      </c>
      <c r="D281" t="s">
        <v>964</v>
      </c>
      <c r="E281" s="4">
        <v>0.20300000000000001</v>
      </c>
      <c r="F281" t="s">
        <v>1041</v>
      </c>
      <c r="H281">
        <f>IFERROR(_xlfn.XLOOKUP(Table1[[#This Row],[Marker]],Table2[Marker],Table2[ID]),-1)</f>
        <v>-1</v>
      </c>
      <c r="I281">
        <f>_xlfn.XLOOKUP(Table1[[#This Row],[Game]],Table14[Game],Table14[release_year])</f>
        <v>2020</v>
      </c>
    </row>
    <row r="282" spans="1:9" x14ac:dyDescent="0.3">
      <c r="A282" s="1">
        <v>446</v>
      </c>
      <c r="B282" t="s">
        <v>13</v>
      </c>
      <c r="C282" t="s">
        <v>450</v>
      </c>
      <c r="D282" t="s">
        <v>965</v>
      </c>
      <c r="E282" s="4">
        <v>0.2</v>
      </c>
      <c r="F282" t="s">
        <v>1041</v>
      </c>
      <c r="H282">
        <f>IFERROR(_xlfn.XLOOKUP(Table1[[#This Row],[Marker]],Table2[Marker],Table2[ID]),-1)</f>
        <v>-1</v>
      </c>
      <c r="I282">
        <f>_xlfn.XLOOKUP(Table1[[#This Row],[Game]],Table14[Game],Table14[release_year])</f>
        <v>2020</v>
      </c>
    </row>
    <row r="283" spans="1:9" x14ac:dyDescent="0.3">
      <c r="A283" s="1">
        <v>447</v>
      </c>
      <c r="B283" t="s">
        <v>13</v>
      </c>
      <c r="C283" t="s">
        <v>451</v>
      </c>
      <c r="D283" t="s">
        <v>966</v>
      </c>
      <c r="E283" s="4">
        <v>0.19600000000000001</v>
      </c>
      <c r="F283" t="s">
        <v>1041</v>
      </c>
      <c r="H283">
        <f>IFERROR(_xlfn.XLOOKUP(Table1[[#This Row],[Marker]],Table2[Marker],Table2[ID]),-1)</f>
        <v>-1</v>
      </c>
      <c r="I283">
        <f>_xlfn.XLOOKUP(Table1[[#This Row],[Game]],Table14[Game],Table14[release_year])</f>
        <v>2020</v>
      </c>
    </row>
    <row r="284" spans="1:9" x14ac:dyDescent="0.3">
      <c r="A284" s="1">
        <v>448</v>
      </c>
      <c r="B284" t="s">
        <v>13</v>
      </c>
      <c r="C284" t="s">
        <v>452</v>
      </c>
      <c r="D284" t="s">
        <v>967</v>
      </c>
      <c r="E284" s="4">
        <v>0.19</v>
      </c>
      <c r="F284" t="s">
        <v>1041</v>
      </c>
      <c r="H284">
        <f>IFERROR(_xlfn.XLOOKUP(Table1[[#This Row],[Marker]],Table2[Marker],Table2[ID]),-1)</f>
        <v>-1</v>
      </c>
      <c r="I284">
        <f>_xlfn.XLOOKUP(Table1[[#This Row],[Game]],Table14[Game],Table14[release_year])</f>
        <v>2020</v>
      </c>
    </row>
    <row r="285" spans="1:9" x14ac:dyDescent="0.3">
      <c r="A285" s="1">
        <v>449</v>
      </c>
      <c r="B285" t="s">
        <v>13</v>
      </c>
      <c r="C285" t="s">
        <v>453</v>
      </c>
      <c r="D285" t="s">
        <v>968</v>
      </c>
      <c r="E285" s="4">
        <v>0.17499999999999999</v>
      </c>
      <c r="F285" t="s">
        <v>1041</v>
      </c>
      <c r="H285">
        <f>IFERROR(_xlfn.XLOOKUP(Table1[[#This Row],[Marker]],Table2[Marker],Table2[ID]),-1)</f>
        <v>-1</v>
      </c>
      <c r="I285">
        <f>_xlfn.XLOOKUP(Table1[[#This Row],[Game]],Table14[Game],Table14[release_year])</f>
        <v>2020</v>
      </c>
    </row>
    <row r="286" spans="1:9" x14ac:dyDescent="0.3">
      <c r="A286" s="1">
        <v>450</v>
      </c>
      <c r="B286" t="s">
        <v>13</v>
      </c>
      <c r="C286" t="s">
        <v>454</v>
      </c>
      <c r="D286" t="s">
        <v>969</v>
      </c>
      <c r="E286" s="4">
        <v>0.17199999999999999</v>
      </c>
      <c r="F286" t="s">
        <v>1041</v>
      </c>
      <c r="H286">
        <f>IFERROR(_xlfn.XLOOKUP(Table1[[#This Row],[Marker]],Table2[Marker],Table2[ID]),-1)</f>
        <v>-1</v>
      </c>
      <c r="I286">
        <f>_xlfn.XLOOKUP(Table1[[#This Row],[Game]],Table14[Game],Table14[release_year])</f>
        <v>2020</v>
      </c>
    </row>
    <row r="287" spans="1:9" x14ac:dyDescent="0.3">
      <c r="A287" s="1">
        <v>451</v>
      </c>
      <c r="B287" t="s">
        <v>13</v>
      </c>
      <c r="C287" t="s">
        <v>455</v>
      </c>
      <c r="D287" t="s">
        <v>970</v>
      </c>
      <c r="E287" s="4">
        <v>0.157</v>
      </c>
      <c r="F287" t="s">
        <v>1041</v>
      </c>
      <c r="H287">
        <f>IFERROR(_xlfn.XLOOKUP(Table1[[#This Row],[Marker]],Table2[Marker],Table2[ID]),-1)</f>
        <v>-1</v>
      </c>
      <c r="I287">
        <f>_xlfn.XLOOKUP(Table1[[#This Row],[Game]],Table14[Game],Table14[release_year])</f>
        <v>2020</v>
      </c>
    </row>
    <row r="288" spans="1:9" x14ac:dyDescent="0.3">
      <c r="A288" s="1">
        <v>452</v>
      </c>
      <c r="B288" t="s">
        <v>13</v>
      </c>
      <c r="C288" t="s">
        <v>456</v>
      </c>
      <c r="D288" t="s">
        <v>971</v>
      </c>
      <c r="E288" s="4">
        <v>0.14599999999999999</v>
      </c>
      <c r="F288" t="s">
        <v>1041</v>
      </c>
      <c r="H288">
        <f>IFERROR(_xlfn.XLOOKUP(Table1[[#This Row],[Marker]],Table2[Marker],Table2[ID]),-1)</f>
        <v>-1</v>
      </c>
      <c r="I288">
        <f>_xlfn.XLOOKUP(Table1[[#This Row],[Game]],Table14[Game],Table14[release_year])</f>
        <v>2020</v>
      </c>
    </row>
    <row r="289" spans="1:9" x14ac:dyDescent="0.3">
      <c r="A289" s="1">
        <v>453</v>
      </c>
      <c r="B289" t="s">
        <v>13</v>
      </c>
      <c r="C289" t="s">
        <v>457</v>
      </c>
      <c r="D289" t="s">
        <v>972</v>
      </c>
      <c r="E289" s="4">
        <v>0.13400000000000001</v>
      </c>
      <c r="F289" t="s">
        <v>1041</v>
      </c>
      <c r="H289">
        <f>IFERROR(_xlfn.XLOOKUP(Table1[[#This Row],[Marker]],Table2[Marker],Table2[ID]),-1)</f>
        <v>-1</v>
      </c>
      <c r="I289">
        <f>_xlfn.XLOOKUP(Table1[[#This Row],[Game]],Table14[Game],Table14[release_year])</f>
        <v>2020</v>
      </c>
    </row>
    <row r="290" spans="1:9" x14ac:dyDescent="0.3">
      <c r="A290" s="1">
        <v>454</v>
      </c>
      <c r="B290" t="s">
        <v>13</v>
      </c>
      <c r="C290" t="s">
        <v>458</v>
      </c>
      <c r="D290" t="s">
        <v>973</v>
      </c>
      <c r="E290" s="4">
        <v>0.13300000000000001</v>
      </c>
      <c r="F290" t="s">
        <v>1041</v>
      </c>
      <c r="H290">
        <f>IFERROR(_xlfn.XLOOKUP(Table1[[#This Row],[Marker]],Table2[Marker],Table2[ID]),-1)</f>
        <v>-1</v>
      </c>
      <c r="I290">
        <f>_xlfn.XLOOKUP(Table1[[#This Row],[Game]],Table14[Game],Table14[release_year])</f>
        <v>2020</v>
      </c>
    </row>
    <row r="291" spans="1:9" x14ac:dyDescent="0.3">
      <c r="A291" s="1">
        <v>455</v>
      </c>
      <c r="B291" t="s">
        <v>13</v>
      </c>
      <c r="C291" t="s">
        <v>459</v>
      </c>
      <c r="D291" t="s">
        <v>974</v>
      </c>
      <c r="E291" s="4">
        <v>0.129</v>
      </c>
      <c r="F291" t="s">
        <v>1041</v>
      </c>
      <c r="H291">
        <f>IFERROR(_xlfn.XLOOKUP(Table1[[#This Row],[Marker]],Table2[Marker],Table2[ID]),-1)</f>
        <v>-1</v>
      </c>
      <c r="I291">
        <f>_xlfn.XLOOKUP(Table1[[#This Row],[Game]],Table14[Game],Table14[release_year])</f>
        <v>2020</v>
      </c>
    </row>
    <row r="292" spans="1:9" x14ac:dyDescent="0.3">
      <c r="A292" s="1">
        <v>456</v>
      </c>
      <c r="B292" t="s">
        <v>13</v>
      </c>
      <c r="C292" t="s">
        <v>460</v>
      </c>
      <c r="D292" t="s">
        <v>975</v>
      </c>
      <c r="E292" s="4">
        <v>0.127</v>
      </c>
      <c r="F292" t="s">
        <v>1041</v>
      </c>
      <c r="H292">
        <f>IFERROR(_xlfn.XLOOKUP(Table1[[#This Row],[Marker]],Table2[Marker],Table2[ID]),-1)</f>
        <v>-1</v>
      </c>
      <c r="I292">
        <f>_xlfn.XLOOKUP(Table1[[#This Row],[Game]],Table14[Game],Table14[release_year])</f>
        <v>2020</v>
      </c>
    </row>
    <row r="293" spans="1:9" x14ac:dyDescent="0.3">
      <c r="A293" s="1">
        <v>457</v>
      </c>
      <c r="B293" t="s">
        <v>13</v>
      </c>
      <c r="C293" t="s">
        <v>461</v>
      </c>
      <c r="D293" t="s">
        <v>976</v>
      </c>
      <c r="E293" s="4">
        <v>0.124</v>
      </c>
      <c r="F293" t="s">
        <v>1041</v>
      </c>
      <c r="H293">
        <f>IFERROR(_xlfn.XLOOKUP(Table1[[#This Row],[Marker]],Table2[Marker],Table2[ID]),-1)</f>
        <v>-1</v>
      </c>
      <c r="I293">
        <f>_xlfn.XLOOKUP(Table1[[#This Row],[Game]],Table14[Game],Table14[release_year])</f>
        <v>2020</v>
      </c>
    </row>
    <row r="294" spans="1:9" x14ac:dyDescent="0.3">
      <c r="A294" s="1">
        <v>458</v>
      </c>
      <c r="B294" t="s">
        <v>13</v>
      </c>
      <c r="C294" t="s">
        <v>462</v>
      </c>
      <c r="D294" t="s">
        <v>977</v>
      </c>
      <c r="E294" s="4">
        <v>0.12</v>
      </c>
      <c r="F294" t="s">
        <v>1041</v>
      </c>
      <c r="H294">
        <f>IFERROR(_xlfn.XLOOKUP(Table1[[#This Row],[Marker]],Table2[Marker],Table2[ID]),-1)</f>
        <v>-1</v>
      </c>
      <c r="I294">
        <f>_xlfn.XLOOKUP(Table1[[#This Row],[Game]],Table14[Game],Table14[release_year])</f>
        <v>2020</v>
      </c>
    </row>
    <row r="295" spans="1:9" x14ac:dyDescent="0.3">
      <c r="A295" s="1">
        <v>459</v>
      </c>
      <c r="B295" t="s">
        <v>13</v>
      </c>
      <c r="C295" t="s">
        <v>463</v>
      </c>
      <c r="D295" t="s">
        <v>978</v>
      </c>
      <c r="E295" s="4">
        <v>0.11900000000000001</v>
      </c>
      <c r="F295" t="s">
        <v>1041</v>
      </c>
      <c r="H295">
        <f>IFERROR(_xlfn.XLOOKUP(Table1[[#This Row],[Marker]],Table2[Marker],Table2[ID]),-1)</f>
        <v>-1</v>
      </c>
      <c r="I295">
        <f>_xlfn.XLOOKUP(Table1[[#This Row],[Game]],Table14[Game],Table14[release_year])</f>
        <v>2020</v>
      </c>
    </row>
    <row r="296" spans="1:9" x14ac:dyDescent="0.3">
      <c r="A296" s="1">
        <v>460</v>
      </c>
      <c r="B296" t="s">
        <v>13</v>
      </c>
      <c r="C296" t="s">
        <v>464</v>
      </c>
      <c r="D296" t="s">
        <v>979</v>
      </c>
      <c r="E296" s="4">
        <v>0.11699999999999999</v>
      </c>
      <c r="F296" t="s">
        <v>1041</v>
      </c>
      <c r="H296">
        <f>IFERROR(_xlfn.XLOOKUP(Table1[[#This Row],[Marker]],Table2[Marker],Table2[ID]),-1)</f>
        <v>-1</v>
      </c>
      <c r="I296">
        <f>_xlfn.XLOOKUP(Table1[[#This Row],[Game]],Table14[Game],Table14[release_year])</f>
        <v>2020</v>
      </c>
    </row>
    <row r="297" spans="1:9" x14ac:dyDescent="0.3">
      <c r="A297" s="1">
        <v>461</v>
      </c>
      <c r="B297" t="s">
        <v>13</v>
      </c>
      <c r="C297" t="s">
        <v>465</v>
      </c>
      <c r="D297" t="s">
        <v>980</v>
      </c>
      <c r="E297" s="4">
        <v>0.10400000000000001</v>
      </c>
      <c r="F297" t="s">
        <v>1041</v>
      </c>
      <c r="H297">
        <f>IFERROR(_xlfn.XLOOKUP(Table1[[#This Row],[Marker]],Table2[Marker],Table2[ID]),-1)</f>
        <v>-1</v>
      </c>
      <c r="I297">
        <f>_xlfn.XLOOKUP(Table1[[#This Row],[Game]],Table14[Game],Table14[release_year])</f>
        <v>2020</v>
      </c>
    </row>
    <row r="298" spans="1:9" x14ac:dyDescent="0.3">
      <c r="A298" s="1">
        <v>462</v>
      </c>
      <c r="B298" t="s">
        <v>13</v>
      </c>
      <c r="C298" t="s">
        <v>466</v>
      </c>
      <c r="D298" t="s">
        <v>981</v>
      </c>
      <c r="E298" s="4">
        <v>9.9000000000000005E-2</v>
      </c>
      <c r="F298" t="s">
        <v>1041</v>
      </c>
      <c r="H298">
        <f>IFERROR(_xlfn.XLOOKUP(Table1[[#This Row],[Marker]],Table2[Marker],Table2[ID]),-1)</f>
        <v>-1</v>
      </c>
      <c r="I298">
        <f>_xlfn.XLOOKUP(Table1[[#This Row],[Game]],Table14[Game],Table14[release_year])</f>
        <v>2020</v>
      </c>
    </row>
    <row r="299" spans="1:9" x14ac:dyDescent="0.3">
      <c r="A299" s="1">
        <v>463</v>
      </c>
      <c r="B299" t="s">
        <v>13</v>
      </c>
      <c r="C299" t="s">
        <v>467</v>
      </c>
      <c r="D299" t="s">
        <v>982</v>
      </c>
      <c r="E299" s="4">
        <v>9.1999999999999998E-2</v>
      </c>
      <c r="F299" t="s">
        <v>1041</v>
      </c>
      <c r="H299">
        <f>IFERROR(_xlfn.XLOOKUP(Table1[[#This Row],[Marker]],Table2[Marker],Table2[ID]),-1)</f>
        <v>-1</v>
      </c>
      <c r="I299">
        <f>_xlfn.XLOOKUP(Table1[[#This Row],[Game]],Table14[Game],Table14[release_year])</f>
        <v>2020</v>
      </c>
    </row>
    <row r="300" spans="1:9" x14ac:dyDescent="0.3">
      <c r="A300" s="1">
        <v>464</v>
      </c>
      <c r="B300" t="s">
        <v>13</v>
      </c>
      <c r="C300" t="s">
        <v>468</v>
      </c>
      <c r="D300" t="s">
        <v>983</v>
      </c>
      <c r="E300" s="4">
        <v>8.900000000000001E-2</v>
      </c>
      <c r="F300" t="s">
        <v>1041</v>
      </c>
      <c r="H300">
        <f>IFERROR(_xlfn.XLOOKUP(Table1[[#This Row],[Marker]],Table2[Marker],Table2[ID]),-1)</f>
        <v>-1</v>
      </c>
      <c r="I300">
        <f>_xlfn.XLOOKUP(Table1[[#This Row],[Game]],Table14[Game],Table14[release_year])</f>
        <v>2020</v>
      </c>
    </row>
    <row r="301" spans="1:9" x14ac:dyDescent="0.3">
      <c r="A301" s="1">
        <v>465</v>
      </c>
      <c r="B301" t="s">
        <v>13</v>
      </c>
      <c r="C301" t="s">
        <v>469</v>
      </c>
      <c r="D301" t="s">
        <v>984</v>
      </c>
      <c r="E301" s="4">
        <v>8.4000000000000005E-2</v>
      </c>
      <c r="F301" t="s">
        <v>1041</v>
      </c>
      <c r="H301">
        <f>IFERROR(_xlfn.XLOOKUP(Table1[[#This Row],[Marker]],Table2[Marker],Table2[ID]),-1)</f>
        <v>-1</v>
      </c>
      <c r="I301">
        <f>_xlfn.XLOOKUP(Table1[[#This Row],[Game]],Table14[Game],Table14[release_year])</f>
        <v>2020</v>
      </c>
    </row>
    <row r="302" spans="1:9" x14ac:dyDescent="0.3">
      <c r="A302" s="1">
        <v>466</v>
      </c>
      <c r="B302" t="s">
        <v>13</v>
      </c>
      <c r="C302" t="s">
        <v>470</v>
      </c>
      <c r="D302" t="s">
        <v>985</v>
      </c>
      <c r="E302" s="4">
        <v>8.4000000000000005E-2</v>
      </c>
      <c r="F302" t="s">
        <v>1041</v>
      </c>
      <c r="H302">
        <f>IFERROR(_xlfn.XLOOKUP(Table1[[#This Row],[Marker]],Table2[Marker],Table2[ID]),-1)</f>
        <v>-1</v>
      </c>
      <c r="I302">
        <f>_xlfn.XLOOKUP(Table1[[#This Row],[Game]],Table14[Game],Table14[release_year])</f>
        <v>2020</v>
      </c>
    </row>
    <row r="303" spans="1:9" x14ac:dyDescent="0.3">
      <c r="A303" s="1">
        <v>467</v>
      </c>
      <c r="B303" t="s">
        <v>13</v>
      </c>
      <c r="C303" t="s">
        <v>471</v>
      </c>
      <c r="D303" t="s">
        <v>986</v>
      </c>
      <c r="E303" s="4">
        <v>7.6999999999999999E-2</v>
      </c>
      <c r="F303" t="s">
        <v>1041</v>
      </c>
      <c r="H303">
        <f>IFERROR(_xlfn.XLOOKUP(Table1[[#This Row],[Marker]],Table2[Marker],Table2[ID]),-1)</f>
        <v>-1</v>
      </c>
      <c r="I303">
        <f>_xlfn.XLOOKUP(Table1[[#This Row],[Game]],Table14[Game],Table14[release_year])</f>
        <v>2020</v>
      </c>
    </row>
    <row r="304" spans="1:9" x14ac:dyDescent="0.3">
      <c r="A304" s="1">
        <v>468</v>
      </c>
      <c r="B304" t="s">
        <v>13</v>
      </c>
      <c r="C304" t="s">
        <v>472</v>
      </c>
      <c r="D304" t="s">
        <v>987</v>
      </c>
      <c r="E304" s="4">
        <v>7.2999999999999995E-2</v>
      </c>
      <c r="F304" t="s">
        <v>1041</v>
      </c>
      <c r="H304">
        <f>IFERROR(_xlfn.XLOOKUP(Table1[[#This Row],[Marker]],Table2[Marker],Table2[ID]),-1)</f>
        <v>-1</v>
      </c>
      <c r="I304">
        <f>_xlfn.XLOOKUP(Table1[[#This Row],[Game]],Table14[Game],Table14[release_year])</f>
        <v>2020</v>
      </c>
    </row>
    <row r="305" spans="1:9" x14ac:dyDescent="0.3">
      <c r="A305" s="1">
        <v>469</v>
      </c>
      <c r="B305" t="s">
        <v>13</v>
      </c>
      <c r="C305" t="s">
        <v>473</v>
      </c>
      <c r="D305" t="s">
        <v>988</v>
      </c>
      <c r="E305" s="4">
        <v>7.2999999999999995E-2</v>
      </c>
      <c r="F305" t="s">
        <v>1041</v>
      </c>
      <c r="H305">
        <f>IFERROR(_xlfn.XLOOKUP(Table1[[#This Row],[Marker]],Table2[Marker],Table2[ID]),-1)</f>
        <v>-1</v>
      </c>
      <c r="I305">
        <f>_xlfn.XLOOKUP(Table1[[#This Row],[Game]],Table14[Game],Table14[release_year])</f>
        <v>2020</v>
      </c>
    </row>
    <row r="306" spans="1:9" x14ac:dyDescent="0.3">
      <c r="A306" s="1">
        <v>470</v>
      </c>
      <c r="B306" t="s">
        <v>13</v>
      </c>
      <c r="C306" t="s">
        <v>474</v>
      </c>
      <c r="D306" t="s">
        <v>989</v>
      </c>
      <c r="E306" s="4">
        <v>6.7000000000000004E-2</v>
      </c>
      <c r="F306" t="s">
        <v>1041</v>
      </c>
      <c r="H306">
        <f>IFERROR(_xlfn.XLOOKUP(Table1[[#This Row],[Marker]],Table2[Marker],Table2[ID]),-1)</f>
        <v>-1</v>
      </c>
      <c r="I306">
        <f>_xlfn.XLOOKUP(Table1[[#This Row],[Game]],Table14[Game],Table14[release_year])</f>
        <v>2020</v>
      </c>
    </row>
    <row r="307" spans="1:9" x14ac:dyDescent="0.3">
      <c r="A307" s="1">
        <v>471</v>
      </c>
      <c r="B307" t="s">
        <v>13</v>
      </c>
      <c r="C307" t="s">
        <v>475</v>
      </c>
      <c r="D307" t="s">
        <v>990</v>
      </c>
      <c r="E307" s="4">
        <v>5.9000000000000004E-2</v>
      </c>
      <c r="F307" t="s">
        <v>1041</v>
      </c>
      <c r="H307">
        <f>IFERROR(_xlfn.XLOOKUP(Table1[[#This Row],[Marker]],Table2[Marker],Table2[ID]),-1)</f>
        <v>-1</v>
      </c>
      <c r="I307">
        <f>_xlfn.XLOOKUP(Table1[[#This Row],[Game]],Table14[Game],Table14[release_year])</f>
        <v>2020</v>
      </c>
    </row>
    <row r="308" spans="1:9" x14ac:dyDescent="0.3">
      <c r="A308" s="1">
        <v>472</v>
      </c>
      <c r="B308" t="s">
        <v>14</v>
      </c>
      <c r="C308" t="s">
        <v>476</v>
      </c>
      <c r="D308" t="s">
        <v>991</v>
      </c>
      <c r="E308" s="4">
        <v>0.67500000000000004</v>
      </c>
      <c r="F308" s="2" t="s">
        <v>1057</v>
      </c>
      <c r="G308" t="s">
        <v>1273</v>
      </c>
      <c r="H308">
        <f>IFERROR(_xlfn.XLOOKUP(Table1[[#This Row],[Marker]],Table2[Marker],Table2[ID]),-1)</f>
        <v>2</v>
      </c>
      <c r="I308">
        <f>_xlfn.XLOOKUP(Table1[[#This Row],[Game]],Table14[Game],Table14[release_year])</f>
        <v>2025</v>
      </c>
    </row>
    <row r="309" spans="1:9" x14ac:dyDescent="0.3">
      <c r="A309" s="1">
        <v>473</v>
      </c>
      <c r="B309" t="s">
        <v>14</v>
      </c>
      <c r="C309" t="s">
        <v>477</v>
      </c>
      <c r="D309" t="s">
        <v>992</v>
      </c>
      <c r="E309" s="4">
        <v>0.60799999999999998</v>
      </c>
      <c r="F309" s="2" t="s">
        <v>1058</v>
      </c>
      <c r="G309" t="s">
        <v>1274</v>
      </c>
      <c r="H309">
        <f>IFERROR(_xlfn.XLOOKUP(Table1[[#This Row],[Marker]],Table2[Marker],Table2[ID]),-1)</f>
        <v>3</v>
      </c>
      <c r="I309">
        <f>_xlfn.XLOOKUP(Table1[[#This Row],[Game]],Table14[Game],Table14[release_year])</f>
        <v>2025</v>
      </c>
    </row>
    <row r="310" spans="1:9" x14ac:dyDescent="0.3">
      <c r="A310" s="1">
        <v>474</v>
      </c>
      <c r="B310" t="s">
        <v>14</v>
      </c>
      <c r="C310" t="s">
        <v>478</v>
      </c>
      <c r="D310" t="s">
        <v>993</v>
      </c>
      <c r="E310" s="4">
        <v>0.56899999999999995</v>
      </c>
      <c r="F310" t="s">
        <v>1041</v>
      </c>
      <c r="G310" t="s">
        <v>1275</v>
      </c>
      <c r="H310">
        <f>IFERROR(_xlfn.XLOOKUP(Table1[[#This Row],[Marker]],Table2[Marker],Table2[ID]),-1)</f>
        <v>4</v>
      </c>
      <c r="I310">
        <f>_xlfn.XLOOKUP(Table1[[#This Row],[Game]],Table14[Game],Table14[release_year])</f>
        <v>2025</v>
      </c>
    </row>
    <row r="311" spans="1:9" x14ac:dyDescent="0.3">
      <c r="A311" s="1">
        <v>475</v>
      </c>
      <c r="B311" t="s">
        <v>14</v>
      </c>
      <c r="C311" t="s">
        <v>479</v>
      </c>
      <c r="D311" t="s">
        <v>994</v>
      </c>
      <c r="E311" s="4">
        <v>0.50800000000000001</v>
      </c>
      <c r="F311" t="s">
        <v>1041</v>
      </c>
      <c r="H311">
        <f>IFERROR(_xlfn.XLOOKUP(Table1[[#This Row],[Marker]],Table2[Marker],Table2[ID]),-1)</f>
        <v>-1</v>
      </c>
      <c r="I311">
        <f>_xlfn.XLOOKUP(Table1[[#This Row],[Game]],Table14[Game],Table14[release_year])</f>
        <v>2025</v>
      </c>
    </row>
    <row r="312" spans="1:9" x14ac:dyDescent="0.3">
      <c r="A312" s="1">
        <v>476</v>
      </c>
      <c r="B312" t="s">
        <v>14</v>
      </c>
      <c r="C312" t="s">
        <v>480</v>
      </c>
      <c r="D312" t="s">
        <v>995</v>
      </c>
      <c r="E312" s="4">
        <v>0.47200000000000003</v>
      </c>
      <c r="F312" t="s">
        <v>1041</v>
      </c>
      <c r="H312">
        <f>IFERROR(_xlfn.XLOOKUP(Table1[[#This Row],[Marker]],Table2[Marker],Table2[ID]),-1)</f>
        <v>-1</v>
      </c>
      <c r="I312">
        <f>_xlfn.XLOOKUP(Table1[[#This Row],[Game]],Table14[Game],Table14[release_year])</f>
        <v>2025</v>
      </c>
    </row>
    <row r="313" spans="1:9" x14ac:dyDescent="0.3">
      <c r="A313" s="1">
        <v>477</v>
      </c>
      <c r="B313" t="s">
        <v>14</v>
      </c>
      <c r="C313" t="s">
        <v>481</v>
      </c>
      <c r="D313" t="s">
        <v>996</v>
      </c>
      <c r="E313" s="4">
        <v>0.47</v>
      </c>
      <c r="F313" t="s">
        <v>1041</v>
      </c>
      <c r="H313">
        <f>IFERROR(_xlfn.XLOOKUP(Table1[[#This Row],[Marker]],Table2[Marker],Table2[ID]),-1)</f>
        <v>-1</v>
      </c>
      <c r="I313">
        <f>_xlfn.XLOOKUP(Table1[[#This Row],[Game]],Table14[Game],Table14[release_year])</f>
        <v>2025</v>
      </c>
    </row>
    <row r="314" spans="1:9" x14ac:dyDescent="0.3">
      <c r="A314" s="1">
        <v>478</v>
      </c>
      <c r="B314" t="s">
        <v>14</v>
      </c>
      <c r="C314" t="s">
        <v>482</v>
      </c>
      <c r="D314" t="s">
        <v>942</v>
      </c>
      <c r="E314" s="4">
        <v>0.45899999999999996</v>
      </c>
      <c r="F314" t="s">
        <v>1041</v>
      </c>
      <c r="G314" t="s">
        <v>1276</v>
      </c>
      <c r="H314">
        <f>IFERROR(_xlfn.XLOOKUP(Table1[[#This Row],[Marker]],Table2[Marker],Table2[ID]),-1)</f>
        <v>5</v>
      </c>
      <c r="I314">
        <f>_xlfn.XLOOKUP(Table1[[#This Row],[Game]],Table14[Game],Table14[release_year])</f>
        <v>2025</v>
      </c>
    </row>
    <row r="315" spans="1:9" x14ac:dyDescent="0.3">
      <c r="A315" s="1">
        <v>479</v>
      </c>
      <c r="B315" t="s">
        <v>14</v>
      </c>
      <c r="C315" t="s">
        <v>483</v>
      </c>
      <c r="D315" t="s">
        <v>997</v>
      </c>
      <c r="E315" s="4">
        <v>0.45600000000000002</v>
      </c>
      <c r="F315" t="s">
        <v>1041</v>
      </c>
      <c r="H315">
        <f>IFERROR(_xlfn.XLOOKUP(Table1[[#This Row],[Marker]],Table2[Marker],Table2[ID]),-1)</f>
        <v>-1</v>
      </c>
      <c r="I315">
        <f>_xlfn.XLOOKUP(Table1[[#This Row],[Game]],Table14[Game],Table14[release_year])</f>
        <v>2025</v>
      </c>
    </row>
    <row r="316" spans="1:9" x14ac:dyDescent="0.3">
      <c r="A316" s="1">
        <v>480</v>
      </c>
      <c r="B316" t="s">
        <v>14</v>
      </c>
      <c r="C316" t="s">
        <v>484</v>
      </c>
      <c r="D316" t="s">
        <v>998</v>
      </c>
      <c r="E316" s="4">
        <v>0.42399999999999999</v>
      </c>
      <c r="F316" t="s">
        <v>1041</v>
      </c>
      <c r="H316">
        <f>IFERROR(_xlfn.XLOOKUP(Table1[[#This Row],[Marker]],Table2[Marker],Table2[ID]),-1)</f>
        <v>-1</v>
      </c>
      <c r="I316">
        <f>_xlfn.XLOOKUP(Table1[[#This Row],[Game]],Table14[Game],Table14[release_year])</f>
        <v>2025</v>
      </c>
    </row>
    <row r="317" spans="1:9" x14ac:dyDescent="0.3">
      <c r="A317" s="1">
        <v>481</v>
      </c>
      <c r="B317" t="s">
        <v>14</v>
      </c>
      <c r="C317" t="s">
        <v>485</v>
      </c>
      <c r="D317" t="s">
        <v>999</v>
      </c>
      <c r="E317" s="4">
        <v>0.41799999999999998</v>
      </c>
      <c r="F317" t="s">
        <v>1041</v>
      </c>
      <c r="H317">
        <f>IFERROR(_xlfn.XLOOKUP(Table1[[#This Row],[Marker]],Table2[Marker],Table2[ID]),-1)</f>
        <v>-1</v>
      </c>
      <c r="I317">
        <f>_xlfn.XLOOKUP(Table1[[#This Row],[Game]],Table14[Game],Table14[release_year])</f>
        <v>2025</v>
      </c>
    </row>
    <row r="318" spans="1:9" x14ac:dyDescent="0.3">
      <c r="A318" s="1">
        <v>482</v>
      </c>
      <c r="B318" t="s">
        <v>14</v>
      </c>
      <c r="C318" t="s">
        <v>486</v>
      </c>
      <c r="D318" t="s">
        <v>1000</v>
      </c>
      <c r="E318" s="4">
        <v>0.41700000000000004</v>
      </c>
      <c r="F318" t="s">
        <v>1041</v>
      </c>
      <c r="H318">
        <f>IFERROR(_xlfn.XLOOKUP(Table1[[#This Row],[Marker]],Table2[Marker],Table2[ID]),-1)</f>
        <v>-1</v>
      </c>
      <c r="I318">
        <f>_xlfn.XLOOKUP(Table1[[#This Row],[Game]],Table14[Game],Table14[release_year])</f>
        <v>2025</v>
      </c>
    </row>
    <row r="319" spans="1:9" x14ac:dyDescent="0.3">
      <c r="A319" s="1">
        <v>483</v>
      </c>
      <c r="B319" t="s">
        <v>14</v>
      </c>
      <c r="C319" t="s">
        <v>487</v>
      </c>
      <c r="D319" t="s">
        <v>1001</v>
      </c>
      <c r="E319" s="4">
        <v>0.38200000000000001</v>
      </c>
      <c r="F319" t="s">
        <v>1041</v>
      </c>
      <c r="H319">
        <f>IFERROR(_xlfn.XLOOKUP(Table1[[#This Row],[Marker]],Table2[Marker],Table2[ID]),-1)</f>
        <v>-1</v>
      </c>
      <c r="I319">
        <f>_xlfn.XLOOKUP(Table1[[#This Row],[Game]],Table14[Game],Table14[release_year])</f>
        <v>2025</v>
      </c>
    </row>
    <row r="320" spans="1:9" x14ac:dyDescent="0.3">
      <c r="A320" s="1">
        <v>484</v>
      </c>
      <c r="B320" t="s">
        <v>14</v>
      </c>
      <c r="C320" t="s">
        <v>488</v>
      </c>
      <c r="D320" t="s">
        <v>1002</v>
      </c>
      <c r="E320" s="4">
        <v>0.36700000000000005</v>
      </c>
      <c r="F320" t="s">
        <v>1041</v>
      </c>
      <c r="H320">
        <f>IFERROR(_xlfn.XLOOKUP(Table1[[#This Row],[Marker]],Table2[Marker],Table2[ID]),-1)</f>
        <v>-1</v>
      </c>
      <c r="I320">
        <f>_xlfn.XLOOKUP(Table1[[#This Row],[Game]],Table14[Game],Table14[release_year])</f>
        <v>2025</v>
      </c>
    </row>
    <row r="321" spans="1:9" x14ac:dyDescent="0.3">
      <c r="A321" s="1">
        <v>485</v>
      </c>
      <c r="B321" t="s">
        <v>14</v>
      </c>
      <c r="C321" t="s">
        <v>489</v>
      </c>
      <c r="D321" t="s">
        <v>1003</v>
      </c>
      <c r="E321" s="4">
        <v>0.36200000000000004</v>
      </c>
      <c r="F321" t="s">
        <v>1041</v>
      </c>
      <c r="H321">
        <f>IFERROR(_xlfn.XLOOKUP(Table1[[#This Row],[Marker]],Table2[Marker],Table2[ID]),-1)</f>
        <v>-1</v>
      </c>
      <c r="I321">
        <f>_xlfn.XLOOKUP(Table1[[#This Row],[Game]],Table14[Game],Table14[release_year])</f>
        <v>2025</v>
      </c>
    </row>
    <row r="322" spans="1:9" x14ac:dyDescent="0.3">
      <c r="A322" s="1">
        <v>486</v>
      </c>
      <c r="B322" t="s">
        <v>14</v>
      </c>
      <c r="C322" t="s">
        <v>490</v>
      </c>
      <c r="D322" t="s">
        <v>1004</v>
      </c>
      <c r="E322" s="4">
        <v>0.36200000000000004</v>
      </c>
      <c r="F322" t="s">
        <v>1041</v>
      </c>
      <c r="H322">
        <f>IFERROR(_xlfn.XLOOKUP(Table1[[#This Row],[Marker]],Table2[Marker],Table2[ID]),-1)</f>
        <v>-1</v>
      </c>
      <c r="I322">
        <f>_xlfn.XLOOKUP(Table1[[#This Row],[Game]],Table14[Game],Table14[release_year])</f>
        <v>2025</v>
      </c>
    </row>
    <row r="323" spans="1:9" x14ac:dyDescent="0.3">
      <c r="A323" s="1">
        <v>487</v>
      </c>
      <c r="B323" t="s">
        <v>14</v>
      </c>
      <c r="C323" t="s">
        <v>491</v>
      </c>
      <c r="D323" t="s">
        <v>1005</v>
      </c>
      <c r="E323" s="4">
        <v>0.33399999999999996</v>
      </c>
      <c r="F323" t="s">
        <v>1041</v>
      </c>
      <c r="H323">
        <f>IFERROR(_xlfn.XLOOKUP(Table1[[#This Row],[Marker]],Table2[Marker],Table2[ID]),-1)</f>
        <v>-1</v>
      </c>
      <c r="I323">
        <f>_xlfn.XLOOKUP(Table1[[#This Row],[Game]],Table14[Game],Table14[release_year])</f>
        <v>2025</v>
      </c>
    </row>
    <row r="324" spans="1:9" x14ac:dyDescent="0.3">
      <c r="A324" s="1">
        <v>488</v>
      </c>
      <c r="B324" t="s">
        <v>14</v>
      </c>
      <c r="C324" t="s">
        <v>492</v>
      </c>
      <c r="D324" t="s">
        <v>1006</v>
      </c>
      <c r="E324" s="4">
        <v>0.33299999999999996</v>
      </c>
      <c r="F324" t="s">
        <v>1041</v>
      </c>
      <c r="H324">
        <f>IFERROR(_xlfn.XLOOKUP(Table1[[#This Row],[Marker]],Table2[Marker],Table2[ID]),-1)</f>
        <v>-1</v>
      </c>
      <c r="I324">
        <f>_xlfn.XLOOKUP(Table1[[#This Row],[Game]],Table14[Game],Table14[release_year])</f>
        <v>2025</v>
      </c>
    </row>
    <row r="325" spans="1:9" x14ac:dyDescent="0.3">
      <c r="A325" s="1">
        <v>489</v>
      </c>
      <c r="B325" t="s">
        <v>14</v>
      </c>
      <c r="C325" t="s">
        <v>493</v>
      </c>
      <c r="D325" t="s">
        <v>1007</v>
      </c>
      <c r="E325" s="4">
        <v>0.30499999999999999</v>
      </c>
      <c r="F325" t="s">
        <v>1041</v>
      </c>
      <c r="H325">
        <f>IFERROR(_xlfn.XLOOKUP(Table1[[#This Row],[Marker]],Table2[Marker],Table2[ID]),-1)</f>
        <v>-1</v>
      </c>
      <c r="I325">
        <f>_xlfn.XLOOKUP(Table1[[#This Row],[Game]],Table14[Game],Table14[release_year])</f>
        <v>2025</v>
      </c>
    </row>
    <row r="326" spans="1:9" x14ac:dyDescent="0.3">
      <c r="A326" s="1">
        <v>490</v>
      </c>
      <c r="B326" t="s">
        <v>14</v>
      </c>
      <c r="C326" t="s">
        <v>494</v>
      </c>
      <c r="D326" t="s">
        <v>1008</v>
      </c>
      <c r="E326" s="4">
        <v>0.26800000000000002</v>
      </c>
      <c r="F326" t="s">
        <v>1041</v>
      </c>
      <c r="H326">
        <f>IFERROR(_xlfn.XLOOKUP(Table1[[#This Row],[Marker]],Table2[Marker],Table2[ID]),-1)</f>
        <v>-1</v>
      </c>
      <c r="I326">
        <f>_xlfn.XLOOKUP(Table1[[#This Row],[Game]],Table14[Game],Table14[release_year])</f>
        <v>2025</v>
      </c>
    </row>
    <row r="327" spans="1:9" x14ac:dyDescent="0.3">
      <c r="A327" s="1">
        <v>491</v>
      </c>
      <c r="B327" t="s">
        <v>14</v>
      </c>
      <c r="C327" t="s">
        <v>495</v>
      </c>
      <c r="D327" t="s">
        <v>1009</v>
      </c>
      <c r="E327" s="4">
        <v>0.25</v>
      </c>
      <c r="F327" t="s">
        <v>1041</v>
      </c>
      <c r="H327">
        <f>IFERROR(_xlfn.XLOOKUP(Table1[[#This Row],[Marker]],Table2[Marker],Table2[ID]),-1)</f>
        <v>-1</v>
      </c>
      <c r="I327">
        <f>_xlfn.XLOOKUP(Table1[[#This Row],[Game]],Table14[Game],Table14[release_year])</f>
        <v>2025</v>
      </c>
    </row>
    <row r="328" spans="1:9" x14ac:dyDescent="0.3">
      <c r="A328" s="1">
        <v>492</v>
      </c>
      <c r="B328" t="s">
        <v>14</v>
      </c>
      <c r="C328" t="s">
        <v>496</v>
      </c>
      <c r="D328" t="s">
        <v>1010</v>
      </c>
      <c r="E328" s="4">
        <v>0.24299999999999999</v>
      </c>
      <c r="F328" t="s">
        <v>1041</v>
      </c>
      <c r="H328">
        <f>IFERROR(_xlfn.XLOOKUP(Table1[[#This Row],[Marker]],Table2[Marker],Table2[ID]),-1)</f>
        <v>-1</v>
      </c>
      <c r="I328">
        <f>_xlfn.XLOOKUP(Table1[[#This Row],[Game]],Table14[Game],Table14[release_year])</f>
        <v>2025</v>
      </c>
    </row>
    <row r="329" spans="1:9" x14ac:dyDescent="0.3">
      <c r="A329" s="1">
        <v>493</v>
      </c>
      <c r="B329" t="s">
        <v>14</v>
      </c>
      <c r="C329" t="s">
        <v>497</v>
      </c>
      <c r="D329" t="s">
        <v>1011</v>
      </c>
      <c r="E329" s="4">
        <v>0.23800000000000002</v>
      </c>
      <c r="F329" t="s">
        <v>1041</v>
      </c>
      <c r="H329">
        <f>IFERROR(_xlfn.XLOOKUP(Table1[[#This Row],[Marker]],Table2[Marker],Table2[ID]),-1)</f>
        <v>-1</v>
      </c>
      <c r="I329">
        <f>_xlfn.XLOOKUP(Table1[[#This Row],[Game]],Table14[Game],Table14[release_year])</f>
        <v>2025</v>
      </c>
    </row>
    <row r="330" spans="1:9" x14ac:dyDescent="0.3">
      <c r="A330" s="1">
        <v>494</v>
      </c>
      <c r="B330" t="s">
        <v>14</v>
      </c>
      <c r="C330" t="s">
        <v>498</v>
      </c>
      <c r="D330" t="s">
        <v>1012</v>
      </c>
      <c r="E330" s="4">
        <v>0.187</v>
      </c>
      <c r="F330" t="s">
        <v>1041</v>
      </c>
      <c r="H330">
        <f>IFERROR(_xlfn.XLOOKUP(Table1[[#This Row],[Marker]],Table2[Marker],Table2[ID]),-1)</f>
        <v>-1</v>
      </c>
      <c r="I330">
        <f>_xlfn.XLOOKUP(Table1[[#This Row],[Game]],Table14[Game],Table14[release_year])</f>
        <v>2025</v>
      </c>
    </row>
    <row r="331" spans="1:9" x14ac:dyDescent="0.3">
      <c r="A331" s="1">
        <v>495</v>
      </c>
      <c r="B331" t="s">
        <v>14</v>
      </c>
      <c r="C331" t="s">
        <v>499</v>
      </c>
      <c r="D331" t="s">
        <v>1013</v>
      </c>
      <c r="E331" s="4">
        <v>0.16600000000000001</v>
      </c>
      <c r="F331" t="s">
        <v>1041</v>
      </c>
      <c r="H331">
        <f>IFERROR(_xlfn.XLOOKUP(Table1[[#This Row],[Marker]],Table2[Marker],Table2[ID]),-1)</f>
        <v>-1</v>
      </c>
      <c r="I331">
        <f>_xlfn.XLOOKUP(Table1[[#This Row],[Game]],Table14[Game],Table14[release_year])</f>
        <v>2025</v>
      </c>
    </row>
    <row r="332" spans="1:9" x14ac:dyDescent="0.3">
      <c r="A332" s="1">
        <v>496</v>
      </c>
      <c r="B332" t="s">
        <v>14</v>
      </c>
      <c r="C332" t="s">
        <v>500</v>
      </c>
      <c r="D332" t="s">
        <v>1014</v>
      </c>
      <c r="E332" s="4">
        <v>0.16500000000000001</v>
      </c>
      <c r="F332" t="s">
        <v>1041</v>
      </c>
      <c r="H332">
        <f>IFERROR(_xlfn.XLOOKUP(Table1[[#This Row],[Marker]],Table2[Marker],Table2[ID]),-1)</f>
        <v>-1</v>
      </c>
      <c r="I332">
        <f>_xlfn.XLOOKUP(Table1[[#This Row],[Game]],Table14[Game],Table14[release_year])</f>
        <v>2025</v>
      </c>
    </row>
    <row r="333" spans="1:9" x14ac:dyDescent="0.3">
      <c r="A333" s="1">
        <v>497</v>
      </c>
      <c r="B333" t="s">
        <v>14</v>
      </c>
      <c r="C333" t="s">
        <v>501</v>
      </c>
      <c r="D333" t="s">
        <v>1015</v>
      </c>
      <c r="E333" s="4">
        <v>0.16200000000000001</v>
      </c>
      <c r="F333" t="s">
        <v>1041</v>
      </c>
      <c r="H333">
        <f>IFERROR(_xlfn.XLOOKUP(Table1[[#This Row],[Marker]],Table2[Marker],Table2[ID]),-1)</f>
        <v>-1</v>
      </c>
      <c r="I333">
        <f>_xlfn.XLOOKUP(Table1[[#This Row],[Game]],Table14[Game],Table14[release_year])</f>
        <v>2025</v>
      </c>
    </row>
    <row r="334" spans="1:9" x14ac:dyDescent="0.3">
      <c r="A334" s="1">
        <v>498</v>
      </c>
      <c r="B334" t="s">
        <v>14</v>
      </c>
      <c r="C334" t="s">
        <v>502</v>
      </c>
      <c r="D334" t="s">
        <v>1016</v>
      </c>
      <c r="E334" s="4">
        <v>0.159</v>
      </c>
      <c r="F334" t="s">
        <v>1041</v>
      </c>
      <c r="H334">
        <f>IFERROR(_xlfn.XLOOKUP(Table1[[#This Row],[Marker]],Table2[Marker],Table2[ID]),-1)</f>
        <v>-1</v>
      </c>
      <c r="I334">
        <f>_xlfn.XLOOKUP(Table1[[#This Row],[Game]],Table14[Game],Table14[release_year])</f>
        <v>2025</v>
      </c>
    </row>
    <row r="335" spans="1:9" x14ac:dyDescent="0.3">
      <c r="A335" s="1">
        <v>499</v>
      </c>
      <c r="B335" t="s">
        <v>14</v>
      </c>
      <c r="C335" t="s">
        <v>503</v>
      </c>
      <c r="D335" t="s">
        <v>1017</v>
      </c>
      <c r="E335" s="4">
        <v>0.157</v>
      </c>
      <c r="F335" t="s">
        <v>1041</v>
      </c>
      <c r="H335">
        <f>IFERROR(_xlfn.XLOOKUP(Table1[[#This Row],[Marker]],Table2[Marker],Table2[ID]),-1)</f>
        <v>-1</v>
      </c>
      <c r="I335">
        <f>_xlfn.XLOOKUP(Table1[[#This Row],[Game]],Table14[Game],Table14[release_year])</f>
        <v>2025</v>
      </c>
    </row>
    <row r="336" spans="1:9" x14ac:dyDescent="0.3">
      <c r="A336" s="1">
        <v>500</v>
      </c>
      <c r="B336" t="s">
        <v>14</v>
      </c>
      <c r="C336" t="s">
        <v>504</v>
      </c>
      <c r="D336" t="s">
        <v>1018</v>
      </c>
      <c r="E336" s="4">
        <v>0.15</v>
      </c>
      <c r="F336" t="s">
        <v>1041</v>
      </c>
      <c r="H336">
        <f>IFERROR(_xlfn.XLOOKUP(Table1[[#This Row],[Marker]],Table2[Marker],Table2[ID]),-1)</f>
        <v>-1</v>
      </c>
      <c r="I336">
        <f>_xlfn.XLOOKUP(Table1[[#This Row],[Game]],Table14[Game],Table14[release_year])</f>
        <v>2025</v>
      </c>
    </row>
    <row r="337" spans="1:9" x14ac:dyDescent="0.3">
      <c r="A337" s="1">
        <v>501</v>
      </c>
      <c r="B337" t="s">
        <v>14</v>
      </c>
      <c r="C337" t="s">
        <v>505</v>
      </c>
      <c r="D337" t="s">
        <v>1019</v>
      </c>
      <c r="E337" s="4">
        <v>0.14400000000000002</v>
      </c>
      <c r="F337" t="s">
        <v>1041</v>
      </c>
      <c r="H337">
        <f>IFERROR(_xlfn.XLOOKUP(Table1[[#This Row],[Marker]],Table2[Marker],Table2[ID]),-1)</f>
        <v>-1</v>
      </c>
      <c r="I337">
        <f>_xlfn.XLOOKUP(Table1[[#This Row],[Game]],Table14[Game],Table14[release_year])</f>
        <v>2025</v>
      </c>
    </row>
    <row r="338" spans="1:9" x14ac:dyDescent="0.3">
      <c r="A338" s="1">
        <v>502</v>
      </c>
      <c r="B338" t="s">
        <v>14</v>
      </c>
      <c r="C338" t="s">
        <v>506</v>
      </c>
      <c r="D338" t="s">
        <v>1020</v>
      </c>
      <c r="E338" s="4">
        <v>0.13200000000000001</v>
      </c>
      <c r="F338" t="s">
        <v>1041</v>
      </c>
      <c r="H338">
        <f>IFERROR(_xlfn.XLOOKUP(Table1[[#This Row],[Marker]],Table2[Marker],Table2[ID]),-1)</f>
        <v>-1</v>
      </c>
      <c r="I338">
        <f>_xlfn.XLOOKUP(Table1[[#This Row],[Game]],Table14[Game],Table14[release_year])</f>
        <v>2025</v>
      </c>
    </row>
    <row r="339" spans="1:9" x14ac:dyDescent="0.3">
      <c r="A339" s="1">
        <v>503</v>
      </c>
      <c r="B339" t="s">
        <v>14</v>
      </c>
      <c r="C339" t="s">
        <v>507</v>
      </c>
      <c r="D339" t="s">
        <v>1021</v>
      </c>
      <c r="E339" s="4">
        <v>0.12300000000000001</v>
      </c>
      <c r="F339" t="s">
        <v>1041</v>
      </c>
      <c r="H339">
        <f>IFERROR(_xlfn.XLOOKUP(Table1[[#This Row],[Marker]],Table2[Marker],Table2[ID]),-1)</f>
        <v>-1</v>
      </c>
      <c r="I339">
        <f>_xlfn.XLOOKUP(Table1[[#This Row],[Game]],Table14[Game],Table14[release_year])</f>
        <v>2025</v>
      </c>
    </row>
    <row r="340" spans="1:9" x14ac:dyDescent="0.3">
      <c r="A340" s="1">
        <v>504</v>
      </c>
      <c r="B340" t="s">
        <v>14</v>
      </c>
      <c r="C340" t="s">
        <v>508</v>
      </c>
      <c r="D340" t="s">
        <v>1022</v>
      </c>
      <c r="E340" s="4">
        <v>0.121</v>
      </c>
      <c r="F340" t="s">
        <v>1041</v>
      </c>
      <c r="H340">
        <f>IFERROR(_xlfn.XLOOKUP(Table1[[#This Row],[Marker]],Table2[Marker],Table2[ID]),-1)</f>
        <v>-1</v>
      </c>
      <c r="I340">
        <f>_xlfn.XLOOKUP(Table1[[#This Row],[Game]],Table14[Game],Table14[release_year])</f>
        <v>2025</v>
      </c>
    </row>
    <row r="341" spans="1:9" x14ac:dyDescent="0.3">
      <c r="A341" s="1">
        <v>505</v>
      </c>
      <c r="B341" t="s">
        <v>14</v>
      </c>
      <c r="C341" t="s">
        <v>509</v>
      </c>
      <c r="D341" t="s">
        <v>1023</v>
      </c>
      <c r="E341" s="4">
        <v>0.11900000000000001</v>
      </c>
      <c r="F341" t="s">
        <v>1041</v>
      </c>
      <c r="H341">
        <f>IFERROR(_xlfn.XLOOKUP(Table1[[#This Row],[Marker]],Table2[Marker],Table2[ID]),-1)</f>
        <v>-1</v>
      </c>
      <c r="I341">
        <f>_xlfn.XLOOKUP(Table1[[#This Row],[Game]],Table14[Game],Table14[release_year])</f>
        <v>2025</v>
      </c>
    </row>
    <row r="342" spans="1:9" x14ac:dyDescent="0.3">
      <c r="A342" s="1">
        <v>506</v>
      </c>
      <c r="B342" t="s">
        <v>14</v>
      </c>
      <c r="C342" t="s">
        <v>510</v>
      </c>
      <c r="D342" t="s">
        <v>1024</v>
      </c>
      <c r="E342" s="4">
        <v>0.11800000000000001</v>
      </c>
      <c r="F342" t="s">
        <v>1041</v>
      </c>
      <c r="H342">
        <f>IFERROR(_xlfn.XLOOKUP(Table1[[#This Row],[Marker]],Table2[Marker],Table2[ID]),-1)</f>
        <v>-1</v>
      </c>
      <c r="I342">
        <f>_xlfn.XLOOKUP(Table1[[#This Row],[Game]],Table14[Game],Table14[release_year])</f>
        <v>2025</v>
      </c>
    </row>
    <row r="343" spans="1:9" x14ac:dyDescent="0.3">
      <c r="A343" s="1">
        <v>507</v>
      </c>
      <c r="B343" t="s">
        <v>14</v>
      </c>
      <c r="C343" t="s">
        <v>511</v>
      </c>
      <c r="D343" t="s">
        <v>1025</v>
      </c>
      <c r="E343" s="4">
        <v>0.11800000000000001</v>
      </c>
      <c r="F343" t="s">
        <v>1041</v>
      </c>
      <c r="H343">
        <f>IFERROR(_xlfn.XLOOKUP(Table1[[#This Row],[Marker]],Table2[Marker],Table2[ID]),-1)</f>
        <v>-1</v>
      </c>
      <c r="I343">
        <f>_xlfn.XLOOKUP(Table1[[#This Row],[Game]],Table14[Game],Table14[release_year])</f>
        <v>2025</v>
      </c>
    </row>
    <row r="344" spans="1:9" x14ac:dyDescent="0.3">
      <c r="A344" s="1">
        <v>508</v>
      </c>
      <c r="B344" t="s">
        <v>14</v>
      </c>
      <c r="C344" t="s">
        <v>512</v>
      </c>
      <c r="D344" t="s">
        <v>1026</v>
      </c>
      <c r="E344" s="4">
        <v>0.115</v>
      </c>
      <c r="F344" t="s">
        <v>1041</v>
      </c>
      <c r="H344">
        <f>IFERROR(_xlfn.XLOOKUP(Table1[[#This Row],[Marker]],Table2[Marker],Table2[ID]),-1)</f>
        <v>-1</v>
      </c>
      <c r="I344">
        <f>_xlfn.XLOOKUP(Table1[[#This Row],[Game]],Table14[Game],Table14[release_year])</f>
        <v>2025</v>
      </c>
    </row>
    <row r="345" spans="1:9" x14ac:dyDescent="0.3">
      <c r="A345" s="1">
        <v>509</v>
      </c>
      <c r="B345" t="s">
        <v>14</v>
      </c>
      <c r="C345" t="s">
        <v>513</v>
      </c>
      <c r="D345" t="s">
        <v>1027</v>
      </c>
      <c r="E345" s="4">
        <v>0.111</v>
      </c>
      <c r="F345" t="s">
        <v>1041</v>
      </c>
      <c r="H345">
        <f>IFERROR(_xlfn.XLOOKUP(Table1[[#This Row],[Marker]],Table2[Marker],Table2[ID]),-1)</f>
        <v>-1</v>
      </c>
      <c r="I345">
        <f>_xlfn.XLOOKUP(Table1[[#This Row],[Game]],Table14[Game],Table14[release_year])</f>
        <v>2025</v>
      </c>
    </row>
    <row r="346" spans="1:9" x14ac:dyDescent="0.3">
      <c r="A346" s="1">
        <v>510</v>
      </c>
      <c r="B346" t="s">
        <v>14</v>
      </c>
      <c r="C346" t="s">
        <v>514</v>
      </c>
      <c r="D346" t="s">
        <v>1028</v>
      </c>
      <c r="E346" s="4">
        <v>0.1</v>
      </c>
      <c r="F346" t="s">
        <v>1041</v>
      </c>
      <c r="H346">
        <f>IFERROR(_xlfn.XLOOKUP(Table1[[#This Row],[Marker]],Table2[Marker],Table2[ID]),-1)</f>
        <v>-1</v>
      </c>
      <c r="I346">
        <f>_xlfn.XLOOKUP(Table1[[#This Row],[Game]],Table14[Game],Table14[release_year])</f>
        <v>2025</v>
      </c>
    </row>
    <row r="347" spans="1:9" x14ac:dyDescent="0.3">
      <c r="A347" s="1">
        <v>511</v>
      </c>
      <c r="B347" t="s">
        <v>14</v>
      </c>
      <c r="C347" t="s">
        <v>515</v>
      </c>
      <c r="D347" t="s">
        <v>1029</v>
      </c>
      <c r="E347" s="4">
        <v>9.8000000000000004E-2</v>
      </c>
      <c r="F347" t="s">
        <v>1041</v>
      </c>
      <c r="H347">
        <f>IFERROR(_xlfn.XLOOKUP(Table1[[#This Row],[Marker]],Table2[Marker],Table2[ID]),-1)</f>
        <v>-1</v>
      </c>
      <c r="I347">
        <f>_xlfn.XLOOKUP(Table1[[#This Row],[Game]],Table14[Game],Table14[release_year])</f>
        <v>2025</v>
      </c>
    </row>
    <row r="348" spans="1:9" x14ac:dyDescent="0.3">
      <c r="A348" s="1">
        <v>512</v>
      </c>
      <c r="B348" t="s">
        <v>14</v>
      </c>
      <c r="C348" t="s">
        <v>516</v>
      </c>
      <c r="D348" t="s">
        <v>1030</v>
      </c>
      <c r="E348" s="4">
        <v>9.6999999999999989E-2</v>
      </c>
      <c r="F348" t="s">
        <v>1041</v>
      </c>
      <c r="H348">
        <f>IFERROR(_xlfn.XLOOKUP(Table1[[#This Row],[Marker]],Table2[Marker],Table2[ID]),-1)</f>
        <v>-1</v>
      </c>
      <c r="I348">
        <f>_xlfn.XLOOKUP(Table1[[#This Row],[Game]],Table14[Game],Table14[release_year])</f>
        <v>2025</v>
      </c>
    </row>
    <row r="349" spans="1:9" x14ac:dyDescent="0.3">
      <c r="A349" s="1">
        <v>513</v>
      </c>
      <c r="B349" t="s">
        <v>14</v>
      </c>
      <c r="C349" t="s">
        <v>517</v>
      </c>
      <c r="D349" t="s">
        <v>985</v>
      </c>
      <c r="E349" s="4">
        <v>9.1999999999999998E-2</v>
      </c>
      <c r="F349" t="s">
        <v>1041</v>
      </c>
      <c r="H349">
        <f>IFERROR(_xlfn.XLOOKUP(Table1[[#This Row],[Marker]],Table2[Marker],Table2[ID]),-1)</f>
        <v>-1</v>
      </c>
      <c r="I349">
        <f>_xlfn.XLOOKUP(Table1[[#This Row],[Game]],Table14[Game],Table14[release_year])</f>
        <v>2025</v>
      </c>
    </row>
    <row r="350" spans="1:9" x14ac:dyDescent="0.3">
      <c r="A350" s="1">
        <v>514</v>
      </c>
      <c r="B350" t="s">
        <v>14</v>
      </c>
      <c r="C350" t="s">
        <v>518</v>
      </c>
      <c r="D350" t="s">
        <v>1031</v>
      </c>
      <c r="E350" s="4">
        <v>8.6999999999999994E-2</v>
      </c>
      <c r="F350" t="s">
        <v>1041</v>
      </c>
      <c r="H350">
        <f>IFERROR(_xlfn.XLOOKUP(Table1[[#This Row],[Marker]],Table2[Marker],Table2[ID]),-1)</f>
        <v>-1</v>
      </c>
      <c r="I350">
        <f>_xlfn.XLOOKUP(Table1[[#This Row],[Game]],Table14[Game],Table14[release_year])</f>
        <v>2025</v>
      </c>
    </row>
    <row r="351" spans="1:9" x14ac:dyDescent="0.3">
      <c r="A351" s="1">
        <v>515</v>
      </c>
      <c r="B351" t="s">
        <v>14</v>
      </c>
      <c r="C351" t="s">
        <v>519</v>
      </c>
      <c r="D351" t="s">
        <v>1032</v>
      </c>
      <c r="E351" s="4">
        <v>7.6999999999999999E-2</v>
      </c>
      <c r="F351" t="s">
        <v>1041</v>
      </c>
      <c r="H351">
        <f>IFERROR(_xlfn.XLOOKUP(Table1[[#This Row],[Marker]],Table2[Marker],Table2[ID]),-1)</f>
        <v>-1</v>
      </c>
      <c r="I351">
        <f>_xlfn.XLOOKUP(Table1[[#This Row],[Game]],Table14[Game],Table14[release_year])</f>
        <v>2025</v>
      </c>
    </row>
    <row r="352" spans="1:9" x14ac:dyDescent="0.3">
      <c r="A352" s="1">
        <v>516</v>
      </c>
      <c r="B352" t="s">
        <v>14</v>
      </c>
      <c r="C352" t="s">
        <v>520</v>
      </c>
      <c r="D352" t="s">
        <v>1033</v>
      </c>
      <c r="E352" s="4">
        <v>6.9000000000000006E-2</v>
      </c>
      <c r="F352" t="s">
        <v>1041</v>
      </c>
      <c r="H352">
        <f>IFERROR(_xlfn.XLOOKUP(Table1[[#This Row],[Marker]],Table2[Marker],Table2[ID]),-1)</f>
        <v>-1</v>
      </c>
      <c r="I352">
        <f>_xlfn.XLOOKUP(Table1[[#This Row],[Game]],Table14[Game],Table14[release_year])</f>
        <v>2025</v>
      </c>
    </row>
    <row r="353" spans="1:9" x14ac:dyDescent="0.3">
      <c r="A353" s="1">
        <v>517</v>
      </c>
      <c r="B353" t="s">
        <v>14</v>
      </c>
      <c r="C353" t="s">
        <v>521</v>
      </c>
      <c r="D353" t="s">
        <v>1034</v>
      </c>
      <c r="E353" s="4">
        <v>6.8000000000000005E-2</v>
      </c>
      <c r="F353" t="s">
        <v>1041</v>
      </c>
      <c r="H353">
        <f>IFERROR(_xlfn.XLOOKUP(Table1[[#This Row],[Marker]],Table2[Marker],Table2[ID]),-1)</f>
        <v>-1</v>
      </c>
      <c r="I353">
        <f>_xlfn.XLOOKUP(Table1[[#This Row],[Game]],Table14[Game],Table14[release_year])</f>
        <v>2025</v>
      </c>
    </row>
    <row r="354" spans="1:9" x14ac:dyDescent="0.3">
      <c r="A354" s="1">
        <v>518</v>
      </c>
      <c r="B354" t="s">
        <v>14</v>
      </c>
      <c r="C354" t="s">
        <v>522</v>
      </c>
      <c r="D354" t="s">
        <v>1035</v>
      </c>
      <c r="E354" s="4">
        <v>5.7999999999999996E-2</v>
      </c>
      <c r="F354" t="s">
        <v>1041</v>
      </c>
      <c r="H354">
        <f>IFERROR(_xlfn.XLOOKUP(Table1[[#This Row],[Marker]],Table2[Marker],Table2[ID]),-1)</f>
        <v>-1</v>
      </c>
      <c r="I354">
        <f>_xlfn.XLOOKUP(Table1[[#This Row],[Game]],Table14[Game],Table14[release_year])</f>
        <v>2025</v>
      </c>
    </row>
    <row r="355" spans="1:9" x14ac:dyDescent="0.3">
      <c r="A355" s="1">
        <v>519</v>
      </c>
      <c r="B355" t="s">
        <v>14</v>
      </c>
      <c r="C355" t="s">
        <v>523</v>
      </c>
      <c r="D355" t="s">
        <v>1036</v>
      </c>
      <c r="E355" s="4">
        <v>5.2999999999999999E-2</v>
      </c>
      <c r="F355" t="s">
        <v>1041</v>
      </c>
      <c r="H355">
        <f>IFERROR(_xlfn.XLOOKUP(Table1[[#This Row],[Marker]],Table2[Marker],Table2[ID]),-1)</f>
        <v>-1</v>
      </c>
      <c r="I355">
        <f>_xlfn.XLOOKUP(Table1[[#This Row],[Game]],Table14[Game],Table14[release_year])</f>
        <v>2025</v>
      </c>
    </row>
    <row r="356" spans="1:9" x14ac:dyDescent="0.3">
      <c r="A356" s="1">
        <v>520</v>
      </c>
      <c r="B356" t="s">
        <v>14</v>
      </c>
      <c r="C356" t="s">
        <v>524</v>
      </c>
      <c r="D356" t="s">
        <v>1037</v>
      </c>
      <c r="E356" s="4">
        <v>4.7E-2</v>
      </c>
      <c r="F356" t="s">
        <v>1041</v>
      </c>
      <c r="H356">
        <f>IFERROR(_xlfn.XLOOKUP(Table1[[#This Row],[Marker]],Table2[Marker],Table2[ID]),-1)</f>
        <v>-1</v>
      </c>
      <c r="I356">
        <f>_xlfn.XLOOKUP(Table1[[#This Row],[Game]],Table14[Game],Table14[release_year])</f>
        <v>2025</v>
      </c>
    </row>
    <row r="357" spans="1:9" x14ac:dyDescent="0.3">
      <c r="A357" s="1">
        <v>521</v>
      </c>
      <c r="B357" t="s">
        <v>14</v>
      </c>
      <c r="C357" t="s">
        <v>525</v>
      </c>
      <c r="D357" t="s">
        <v>1038</v>
      </c>
      <c r="E357" s="4">
        <v>0.04</v>
      </c>
      <c r="F357" t="s">
        <v>1041</v>
      </c>
      <c r="H357">
        <f>IFERROR(_xlfn.XLOOKUP(Table1[[#This Row],[Marker]],Table2[Marker],Table2[ID]),-1)</f>
        <v>-1</v>
      </c>
      <c r="I357">
        <f>_xlfn.XLOOKUP(Table1[[#This Row],[Game]],Table14[Game],Table14[release_year])</f>
        <v>2025</v>
      </c>
    </row>
    <row r="358" spans="1:9" x14ac:dyDescent="0.3">
      <c r="A358" s="1">
        <v>299</v>
      </c>
      <c r="B358" t="s">
        <v>11</v>
      </c>
      <c r="C358" t="s">
        <v>313</v>
      </c>
      <c r="D358" t="s">
        <v>825</v>
      </c>
      <c r="E358" s="4">
        <v>0.76900000000000002</v>
      </c>
      <c r="F358" s="2" t="s">
        <v>1052</v>
      </c>
      <c r="G358" t="s">
        <v>1272</v>
      </c>
      <c r="H358">
        <f>IFERROR(_xlfn.XLOOKUP(Table1[[#This Row],[Marker]],Table2[Marker],Table2[ID]),-1)</f>
        <v>1</v>
      </c>
      <c r="I358">
        <f>_xlfn.XLOOKUP(Table1[[#This Row],[Game]],Table14[Game],Table14[release_year])</f>
        <v>2025</v>
      </c>
    </row>
    <row r="359" spans="1:9" x14ac:dyDescent="0.3">
      <c r="A359" s="1">
        <v>300</v>
      </c>
      <c r="B359" t="s">
        <v>11</v>
      </c>
      <c r="C359" t="s">
        <v>314</v>
      </c>
      <c r="D359" t="s">
        <v>826</v>
      </c>
      <c r="E359" s="4">
        <v>0.71499999999999997</v>
      </c>
      <c r="F359" s="2" t="s">
        <v>1053</v>
      </c>
      <c r="G359" t="s">
        <v>1273</v>
      </c>
      <c r="H359">
        <f>IFERROR(_xlfn.XLOOKUP(Table1[[#This Row],[Marker]],Table2[Marker],Table2[ID]),-1)</f>
        <v>2</v>
      </c>
      <c r="I359">
        <f>_xlfn.XLOOKUP(Table1[[#This Row],[Game]],Table14[Game],Table14[release_year])</f>
        <v>2025</v>
      </c>
    </row>
    <row r="360" spans="1:9" x14ac:dyDescent="0.3">
      <c r="A360" s="1">
        <v>301</v>
      </c>
      <c r="B360" t="s">
        <v>11</v>
      </c>
      <c r="C360" t="s">
        <v>315</v>
      </c>
      <c r="D360" t="s">
        <v>827</v>
      </c>
      <c r="E360" s="4">
        <v>0.629</v>
      </c>
      <c r="F360" t="s">
        <v>1041</v>
      </c>
      <c r="G360" t="s">
        <v>1274</v>
      </c>
      <c r="H360">
        <f>IFERROR(_xlfn.XLOOKUP(Table1[[#This Row],[Marker]],Table2[Marker],Table2[ID]),-1)</f>
        <v>3</v>
      </c>
      <c r="I360">
        <f>_xlfn.XLOOKUP(Table1[[#This Row],[Game]],Table14[Game],Table14[release_year])</f>
        <v>2025</v>
      </c>
    </row>
    <row r="361" spans="1:9" x14ac:dyDescent="0.3">
      <c r="A361" s="1">
        <v>302</v>
      </c>
      <c r="B361" t="s">
        <v>11</v>
      </c>
      <c r="C361" t="s">
        <v>316</v>
      </c>
      <c r="D361" t="s">
        <v>828</v>
      </c>
      <c r="E361" s="4">
        <v>0.49099999999999999</v>
      </c>
      <c r="F361" t="s">
        <v>1041</v>
      </c>
      <c r="H361">
        <f>IFERROR(_xlfn.XLOOKUP(Table1[[#This Row],[Marker]],Table2[Marker],Table2[ID]),-1)</f>
        <v>-1</v>
      </c>
      <c r="I361">
        <f>_xlfn.XLOOKUP(Table1[[#This Row],[Game]],Table14[Game],Table14[release_year])</f>
        <v>2025</v>
      </c>
    </row>
    <row r="362" spans="1:9" x14ac:dyDescent="0.3">
      <c r="A362" s="1">
        <v>303</v>
      </c>
      <c r="B362" t="s">
        <v>11</v>
      </c>
      <c r="C362" t="s">
        <v>270</v>
      </c>
      <c r="D362" t="s">
        <v>782</v>
      </c>
      <c r="E362" s="4">
        <v>0.47799999999999998</v>
      </c>
      <c r="F362" t="s">
        <v>1041</v>
      </c>
      <c r="H362">
        <f>IFERROR(_xlfn.XLOOKUP(Table1[[#This Row],[Marker]],Table2[Marker],Table2[ID]),-1)</f>
        <v>-1</v>
      </c>
      <c r="I362">
        <f>_xlfn.XLOOKUP(Table1[[#This Row],[Game]],Table14[Game],Table14[release_year])</f>
        <v>2025</v>
      </c>
    </row>
    <row r="363" spans="1:9" x14ac:dyDescent="0.3">
      <c r="A363" s="1">
        <v>304</v>
      </c>
      <c r="B363" t="s">
        <v>11</v>
      </c>
      <c r="C363" t="s">
        <v>317</v>
      </c>
      <c r="D363" t="s">
        <v>829</v>
      </c>
      <c r="E363" s="4">
        <v>0.47</v>
      </c>
      <c r="F363" t="s">
        <v>1041</v>
      </c>
      <c r="G363" t="s">
        <v>1275</v>
      </c>
      <c r="H363">
        <f>IFERROR(_xlfn.XLOOKUP(Table1[[#This Row],[Marker]],Table2[Marker],Table2[ID]),-1)</f>
        <v>4</v>
      </c>
      <c r="I363">
        <f>_xlfn.XLOOKUP(Table1[[#This Row],[Game]],Table14[Game],Table14[release_year])</f>
        <v>2025</v>
      </c>
    </row>
    <row r="364" spans="1:9" x14ac:dyDescent="0.3">
      <c r="A364" s="1">
        <v>305</v>
      </c>
      <c r="B364" t="s">
        <v>11</v>
      </c>
      <c r="C364" t="s">
        <v>318</v>
      </c>
      <c r="D364" t="s">
        <v>830</v>
      </c>
      <c r="E364" s="4">
        <v>0.46500000000000002</v>
      </c>
      <c r="F364" t="s">
        <v>1041</v>
      </c>
      <c r="H364">
        <f>IFERROR(_xlfn.XLOOKUP(Table1[[#This Row],[Marker]],Table2[Marker],Table2[ID]),-1)</f>
        <v>-1</v>
      </c>
      <c r="I364">
        <f>_xlfn.XLOOKUP(Table1[[#This Row],[Game]],Table14[Game],Table14[release_year])</f>
        <v>2025</v>
      </c>
    </row>
    <row r="365" spans="1:9" x14ac:dyDescent="0.3">
      <c r="A365" s="1">
        <v>306</v>
      </c>
      <c r="B365" t="s">
        <v>11</v>
      </c>
      <c r="C365" t="s">
        <v>319</v>
      </c>
      <c r="D365" t="s">
        <v>831</v>
      </c>
      <c r="E365" s="4">
        <v>0.43700000000000006</v>
      </c>
      <c r="F365" t="s">
        <v>1041</v>
      </c>
      <c r="H365">
        <f>IFERROR(_xlfn.XLOOKUP(Table1[[#This Row],[Marker]],Table2[Marker],Table2[ID]),-1)</f>
        <v>-1</v>
      </c>
      <c r="I365">
        <f>_xlfn.XLOOKUP(Table1[[#This Row],[Game]],Table14[Game],Table14[release_year])</f>
        <v>2025</v>
      </c>
    </row>
    <row r="366" spans="1:9" x14ac:dyDescent="0.3">
      <c r="A366" s="1">
        <v>307</v>
      </c>
      <c r="B366" t="s">
        <v>11</v>
      </c>
      <c r="C366" t="s">
        <v>320</v>
      </c>
      <c r="D366" t="s">
        <v>832</v>
      </c>
      <c r="E366" s="4">
        <v>0.42700000000000005</v>
      </c>
      <c r="F366" t="s">
        <v>1041</v>
      </c>
      <c r="H366">
        <f>IFERROR(_xlfn.XLOOKUP(Table1[[#This Row],[Marker]],Table2[Marker],Table2[ID]),-1)</f>
        <v>-1</v>
      </c>
      <c r="I366">
        <f>_xlfn.XLOOKUP(Table1[[#This Row],[Game]],Table14[Game],Table14[release_year])</f>
        <v>2025</v>
      </c>
    </row>
    <row r="367" spans="1:9" x14ac:dyDescent="0.3">
      <c r="A367" s="1">
        <v>308</v>
      </c>
      <c r="B367" t="s">
        <v>11</v>
      </c>
      <c r="C367" t="s">
        <v>321</v>
      </c>
      <c r="D367" t="s">
        <v>833</v>
      </c>
      <c r="E367" s="4">
        <v>0.41799999999999998</v>
      </c>
      <c r="F367" t="s">
        <v>1041</v>
      </c>
      <c r="H367">
        <f>IFERROR(_xlfn.XLOOKUP(Table1[[#This Row],[Marker]],Table2[Marker],Table2[ID]),-1)</f>
        <v>-1</v>
      </c>
      <c r="I367">
        <f>_xlfn.XLOOKUP(Table1[[#This Row],[Game]],Table14[Game],Table14[release_year])</f>
        <v>2025</v>
      </c>
    </row>
    <row r="368" spans="1:9" x14ac:dyDescent="0.3">
      <c r="A368" s="1">
        <v>309</v>
      </c>
      <c r="B368" t="s">
        <v>11</v>
      </c>
      <c r="C368" t="s">
        <v>322</v>
      </c>
      <c r="D368" t="s">
        <v>834</v>
      </c>
      <c r="E368" s="4">
        <v>0.39799999999999996</v>
      </c>
      <c r="F368" t="s">
        <v>1041</v>
      </c>
      <c r="H368">
        <f>IFERROR(_xlfn.XLOOKUP(Table1[[#This Row],[Marker]],Table2[Marker],Table2[ID]),-1)</f>
        <v>-1</v>
      </c>
      <c r="I368">
        <f>_xlfn.XLOOKUP(Table1[[#This Row],[Game]],Table14[Game],Table14[release_year])</f>
        <v>2025</v>
      </c>
    </row>
    <row r="369" spans="1:9" x14ac:dyDescent="0.3">
      <c r="A369" s="1">
        <v>310</v>
      </c>
      <c r="B369" t="s">
        <v>11</v>
      </c>
      <c r="C369" t="s">
        <v>323</v>
      </c>
      <c r="D369" t="s">
        <v>835</v>
      </c>
      <c r="E369" s="4">
        <v>0.38700000000000001</v>
      </c>
      <c r="F369" t="s">
        <v>1041</v>
      </c>
      <c r="H369">
        <f>IFERROR(_xlfn.XLOOKUP(Table1[[#This Row],[Marker]],Table2[Marker],Table2[ID]),-1)</f>
        <v>-1</v>
      </c>
      <c r="I369">
        <f>_xlfn.XLOOKUP(Table1[[#This Row],[Game]],Table14[Game],Table14[release_year])</f>
        <v>2025</v>
      </c>
    </row>
    <row r="370" spans="1:9" x14ac:dyDescent="0.3">
      <c r="A370" s="1">
        <v>311</v>
      </c>
      <c r="B370" t="s">
        <v>11</v>
      </c>
      <c r="C370" t="s">
        <v>324</v>
      </c>
      <c r="D370" t="s">
        <v>836</v>
      </c>
      <c r="E370" s="4">
        <v>0.38500000000000001</v>
      </c>
      <c r="F370" t="s">
        <v>1041</v>
      </c>
      <c r="H370">
        <f>IFERROR(_xlfn.XLOOKUP(Table1[[#This Row],[Marker]],Table2[Marker],Table2[ID]),-1)</f>
        <v>-1</v>
      </c>
      <c r="I370">
        <f>_xlfn.XLOOKUP(Table1[[#This Row],[Game]],Table14[Game],Table14[release_year])</f>
        <v>2025</v>
      </c>
    </row>
    <row r="371" spans="1:9" x14ac:dyDescent="0.3">
      <c r="A371" s="1">
        <v>312</v>
      </c>
      <c r="B371" t="s">
        <v>11</v>
      </c>
      <c r="C371" t="s">
        <v>325</v>
      </c>
      <c r="D371" t="s">
        <v>837</v>
      </c>
      <c r="E371" s="4">
        <v>0.38299999999999995</v>
      </c>
      <c r="F371" t="s">
        <v>1041</v>
      </c>
      <c r="H371">
        <f>IFERROR(_xlfn.XLOOKUP(Table1[[#This Row],[Marker]],Table2[Marker],Table2[ID]),-1)</f>
        <v>-1</v>
      </c>
      <c r="I371">
        <f>_xlfn.XLOOKUP(Table1[[#This Row],[Game]],Table14[Game],Table14[release_year])</f>
        <v>2025</v>
      </c>
    </row>
    <row r="372" spans="1:9" x14ac:dyDescent="0.3">
      <c r="A372" s="1">
        <v>313</v>
      </c>
      <c r="B372" t="s">
        <v>11</v>
      </c>
      <c r="C372" t="s">
        <v>326</v>
      </c>
      <c r="D372" t="s">
        <v>838</v>
      </c>
      <c r="E372" s="4">
        <v>0.38</v>
      </c>
      <c r="F372" t="s">
        <v>1041</v>
      </c>
      <c r="H372">
        <f>IFERROR(_xlfn.XLOOKUP(Table1[[#This Row],[Marker]],Table2[Marker],Table2[ID]),-1)</f>
        <v>-1</v>
      </c>
      <c r="I372">
        <f>_xlfn.XLOOKUP(Table1[[#This Row],[Game]],Table14[Game],Table14[release_year])</f>
        <v>2025</v>
      </c>
    </row>
    <row r="373" spans="1:9" x14ac:dyDescent="0.3">
      <c r="A373" s="1">
        <v>314</v>
      </c>
      <c r="B373" t="s">
        <v>11</v>
      </c>
      <c r="C373" t="s">
        <v>327</v>
      </c>
      <c r="D373" t="s">
        <v>839</v>
      </c>
      <c r="E373" s="4">
        <v>0.376</v>
      </c>
      <c r="F373" t="s">
        <v>1041</v>
      </c>
      <c r="H373">
        <f>IFERROR(_xlfn.XLOOKUP(Table1[[#This Row],[Marker]],Table2[Marker],Table2[ID]),-1)</f>
        <v>-1</v>
      </c>
      <c r="I373">
        <f>_xlfn.XLOOKUP(Table1[[#This Row],[Game]],Table14[Game],Table14[release_year])</f>
        <v>2025</v>
      </c>
    </row>
    <row r="374" spans="1:9" x14ac:dyDescent="0.3">
      <c r="A374" s="1">
        <v>315</v>
      </c>
      <c r="B374" t="s">
        <v>11</v>
      </c>
      <c r="C374" t="s">
        <v>328</v>
      </c>
      <c r="D374" t="s">
        <v>840</v>
      </c>
      <c r="E374" s="4">
        <v>0.375</v>
      </c>
      <c r="F374" t="s">
        <v>1041</v>
      </c>
      <c r="H374">
        <f>IFERROR(_xlfn.XLOOKUP(Table1[[#This Row],[Marker]],Table2[Marker],Table2[ID]),-1)</f>
        <v>-1</v>
      </c>
      <c r="I374">
        <f>_xlfn.XLOOKUP(Table1[[#This Row],[Game]],Table14[Game],Table14[release_year])</f>
        <v>2025</v>
      </c>
    </row>
    <row r="375" spans="1:9" x14ac:dyDescent="0.3">
      <c r="A375" s="1">
        <v>316</v>
      </c>
      <c r="B375" t="s">
        <v>11</v>
      </c>
      <c r="C375" t="s">
        <v>329</v>
      </c>
      <c r="D375" t="s">
        <v>841</v>
      </c>
      <c r="E375" s="4">
        <v>0.374</v>
      </c>
      <c r="F375" t="s">
        <v>1041</v>
      </c>
      <c r="H375">
        <f>IFERROR(_xlfn.XLOOKUP(Table1[[#This Row],[Marker]],Table2[Marker],Table2[ID]),-1)</f>
        <v>-1</v>
      </c>
      <c r="I375">
        <f>_xlfn.XLOOKUP(Table1[[#This Row],[Game]],Table14[Game],Table14[release_year])</f>
        <v>2025</v>
      </c>
    </row>
    <row r="376" spans="1:9" x14ac:dyDescent="0.3">
      <c r="A376" s="1">
        <v>317</v>
      </c>
      <c r="B376" t="s">
        <v>11</v>
      </c>
      <c r="C376" t="s">
        <v>299</v>
      </c>
      <c r="D376" t="s">
        <v>811</v>
      </c>
      <c r="E376" s="4">
        <v>0.36299999999999999</v>
      </c>
      <c r="F376" t="s">
        <v>1041</v>
      </c>
      <c r="H376">
        <f>IFERROR(_xlfn.XLOOKUP(Table1[[#This Row],[Marker]],Table2[Marker],Table2[ID]),-1)</f>
        <v>-1</v>
      </c>
      <c r="I376">
        <f>_xlfn.XLOOKUP(Table1[[#This Row],[Game]],Table14[Game],Table14[release_year])</f>
        <v>2025</v>
      </c>
    </row>
    <row r="377" spans="1:9" x14ac:dyDescent="0.3">
      <c r="A377" s="1">
        <v>318</v>
      </c>
      <c r="B377" t="s">
        <v>11</v>
      </c>
      <c r="C377" t="s">
        <v>330</v>
      </c>
      <c r="D377" t="s">
        <v>842</v>
      </c>
      <c r="E377" s="4">
        <v>0.34299999999999997</v>
      </c>
      <c r="F377" t="s">
        <v>1041</v>
      </c>
      <c r="H377">
        <f>IFERROR(_xlfn.XLOOKUP(Table1[[#This Row],[Marker]],Table2[Marker],Table2[ID]),-1)</f>
        <v>-1</v>
      </c>
      <c r="I377">
        <f>_xlfn.XLOOKUP(Table1[[#This Row],[Game]],Table14[Game],Table14[release_year])</f>
        <v>2025</v>
      </c>
    </row>
    <row r="378" spans="1:9" x14ac:dyDescent="0.3">
      <c r="A378" s="1">
        <v>319</v>
      </c>
      <c r="B378" t="s">
        <v>11</v>
      </c>
      <c r="C378" t="s">
        <v>331</v>
      </c>
      <c r="D378" t="s">
        <v>843</v>
      </c>
      <c r="E378" s="4">
        <v>0.33100000000000002</v>
      </c>
      <c r="F378" t="s">
        <v>1041</v>
      </c>
      <c r="H378">
        <f>IFERROR(_xlfn.XLOOKUP(Table1[[#This Row],[Marker]],Table2[Marker],Table2[ID]),-1)</f>
        <v>-1</v>
      </c>
      <c r="I378">
        <f>_xlfn.XLOOKUP(Table1[[#This Row],[Game]],Table14[Game],Table14[release_year])</f>
        <v>2025</v>
      </c>
    </row>
    <row r="379" spans="1:9" x14ac:dyDescent="0.3">
      <c r="A379" s="1">
        <v>320</v>
      </c>
      <c r="B379" t="s">
        <v>11</v>
      </c>
      <c r="C379" t="s">
        <v>332</v>
      </c>
      <c r="D379" t="s">
        <v>844</v>
      </c>
      <c r="E379" s="4">
        <v>0.32899999999999996</v>
      </c>
      <c r="F379" t="s">
        <v>1041</v>
      </c>
      <c r="H379">
        <f>IFERROR(_xlfn.XLOOKUP(Table1[[#This Row],[Marker]],Table2[Marker],Table2[ID]),-1)</f>
        <v>-1</v>
      </c>
      <c r="I379">
        <f>_xlfn.XLOOKUP(Table1[[#This Row],[Game]],Table14[Game],Table14[release_year])</f>
        <v>2025</v>
      </c>
    </row>
    <row r="380" spans="1:9" x14ac:dyDescent="0.3">
      <c r="A380" s="1">
        <v>321</v>
      </c>
      <c r="B380" t="s">
        <v>11</v>
      </c>
      <c r="C380" t="s">
        <v>333</v>
      </c>
      <c r="D380" t="s">
        <v>845</v>
      </c>
      <c r="E380" s="4">
        <v>0.309</v>
      </c>
      <c r="F380" t="s">
        <v>1041</v>
      </c>
      <c r="H380">
        <f>IFERROR(_xlfn.XLOOKUP(Table1[[#This Row],[Marker]],Table2[Marker],Table2[ID]),-1)</f>
        <v>-1</v>
      </c>
      <c r="I380">
        <f>_xlfn.XLOOKUP(Table1[[#This Row],[Game]],Table14[Game],Table14[release_year])</f>
        <v>2025</v>
      </c>
    </row>
    <row r="381" spans="1:9" x14ac:dyDescent="0.3">
      <c r="A381" s="1">
        <v>322</v>
      </c>
      <c r="B381" t="s">
        <v>11</v>
      </c>
      <c r="C381" t="s">
        <v>334</v>
      </c>
      <c r="D381" t="s">
        <v>846</v>
      </c>
      <c r="E381" s="4">
        <v>0.30499999999999999</v>
      </c>
      <c r="F381" t="s">
        <v>1041</v>
      </c>
      <c r="H381">
        <f>IFERROR(_xlfn.XLOOKUP(Table1[[#This Row],[Marker]],Table2[Marker],Table2[ID]),-1)</f>
        <v>-1</v>
      </c>
      <c r="I381">
        <f>_xlfn.XLOOKUP(Table1[[#This Row],[Game]],Table14[Game],Table14[release_year])</f>
        <v>2025</v>
      </c>
    </row>
    <row r="382" spans="1:9" x14ac:dyDescent="0.3">
      <c r="A382" s="1">
        <v>323</v>
      </c>
      <c r="B382" t="s">
        <v>11</v>
      </c>
      <c r="C382" t="s">
        <v>335</v>
      </c>
      <c r="D382" t="s">
        <v>847</v>
      </c>
      <c r="E382" s="4">
        <v>0.3</v>
      </c>
      <c r="F382" t="s">
        <v>1041</v>
      </c>
      <c r="H382">
        <f>IFERROR(_xlfn.XLOOKUP(Table1[[#This Row],[Marker]],Table2[Marker],Table2[ID]),-1)</f>
        <v>-1</v>
      </c>
      <c r="I382">
        <f>_xlfn.XLOOKUP(Table1[[#This Row],[Game]],Table14[Game],Table14[release_year])</f>
        <v>2025</v>
      </c>
    </row>
    <row r="383" spans="1:9" x14ac:dyDescent="0.3">
      <c r="A383" s="1">
        <v>324</v>
      </c>
      <c r="B383" t="s">
        <v>11</v>
      </c>
      <c r="C383" t="s">
        <v>336</v>
      </c>
      <c r="D383" t="s">
        <v>848</v>
      </c>
      <c r="E383" s="4">
        <v>0.28699999999999998</v>
      </c>
      <c r="F383" t="s">
        <v>1041</v>
      </c>
      <c r="H383">
        <f>IFERROR(_xlfn.XLOOKUP(Table1[[#This Row],[Marker]],Table2[Marker],Table2[ID]),-1)</f>
        <v>-1</v>
      </c>
      <c r="I383">
        <f>_xlfn.XLOOKUP(Table1[[#This Row],[Game]],Table14[Game],Table14[release_year])</f>
        <v>2025</v>
      </c>
    </row>
    <row r="384" spans="1:9" x14ac:dyDescent="0.3">
      <c r="A384" s="1">
        <v>325</v>
      </c>
      <c r="B384" t="s">
        <v>11</v>
      </c>
      <c r="C384" t="s">
        <v>337</v>
      </c>
      <c r="D384" t="s">
        <v>849</v>
      </c>
      <c r="E384" s="4">
        <v>0.26500000000000001</v>
      </c>
      <c r="F384" t="s">
        <v>1041</v>
      </c>
      <c r="G384" t="s">
        <v>1277</v>
      </c>
      <c r="H384">
        <f>IFERROR(_xlfn.XLOOKUP(Table1[[#This Row],[Marker]],Table2[Marker],Table2[ID]),-1)</f>
        <v>6</v>
      </c>
      <c r="I384">
        <f>_xlfn.XLOOKUP(Table1[[#This Row],[Game]],Table14[Game],Table14[release_year])</f>
        <v>2025</v>
      </c>
    </row>
    <row r="385" spans="1:9" x14ac:dyDescent="0.3">
      <c r="A385" s="1">
        <v>326</v>
      </c>
      <c r="B385" t="s">
        <v>11</v>
      </c>
      <c r="C385" t="s">
        <v>338</v>
      </c>
      <c r="D385" t="s">
        <v>850</v>
      </c>
      <c r="E385" s="4">
        <v>0.26300000000000001</v>
      </c>
      <c r="F385" t="s">
        <v>1041</v>
      </c>
      <c r="H385">
        <f>IFERROR(_xlfn.XLOOKUP(Table1[[#This Row],[Marker]],Table2[Marker],Table2[ID]),-1)</f>
        <v>-1</v>
      </c>
      <c r="I385">
        <f>_xlfn.XLOOKUP(Table1[[#This Row],[Game]],Table14[Game],Table14[release_year])</f>
        <v>2025</v>
      </c>
    </row>
    <row r="386" spans="1:9" x14ac:dyDescent="0.3">
      <c r="A386" s="1">
        <v>327</v>
      </c>
      <c r="B386" t="s">
        <v>11</v>
      </c>
      <c r="C386" t="s">
        <v>339</v>
      </c>
      <c r="D386" t="s">
        <v>851</v>
      </c>
      <c r="E386" s="4">
        <v>0.25900000000000001</v>
      </c>
      <c r="F386" t="s">
        <v>1041</v>
      </c>
      <c r="H386">
        <f>IFERROR(_xlfn.XLOOKUP(Table1[[#This Row],[Marker]],Table2[Marker],Table2[ID]),-1)</f>
        <v>-1</v>
      </c>
      <c r="I386">
        <f>_xlfn.XLOOKUP(Table1[[#This Row],[Game]],Table14[Game],Table14[release_year])</f>
        <v>2025</v>
      </c>
    </row>
    <row r="387" spans="1:9" x14ac:dyDescent="0.3">
      <c r="A387" s="1">
        <v>328</v>
      </c>
      <c r="B387" t="s">
        <v>11</v>
      </c>
      <c r="C387" t="s">
        <v>340</v>
      </c>
      <c r="D387" t="s">
        <v>852</v>
      </c>
      <c r="E387" s="4">
        <v>0.25800000000000001</v>
      </c>
      <c r="F387" t="s">
        <v>1041</v>
      </c>
      <c r="H387">
        <f>IFERROR(_xlfn.XLOOKUP(Table1[[#This Row],[Marker]],Table2[Marker],Table2[ID]),-1)</f>
        <v>-1</v>
      </c>
      <c r="I387">
        <f>_xlfn.XLOOKUP(Table1[[#This Row],[Game]],Table14[Game],Table14[release_year])</f>
        <v>2025</v>
      </c>
    </row>
    <row r="388" spans="1:9" x14ac:dyDescent="0.3">
      <c r="A388" s="1">
        <v>329</v>
      </c>
      <c r="B388" t="s">
        <v>11</v>
      </c>
      <c r="C388" t="s">
        <v>341</v>
      </c>
      <c r="D388" t="s">
        <v>853</v>
      </c>
      <c r="E388" s="4">
        <v>0.252</v>
      </c>
      <c r="F388" t="s">
        <v>1041</v>
      </c>
      <c r="H388">
        <f>IFERROR(_xlfn.XLOOKUP(Table1[[#This Row],[Marker]],Table2[Marker],Table2[ID]),-1)</f>
        <v>-1</v>
      </c>
      <c r="I388">
        <f>_xlfn.XLOOKUP(Table1[[#This Row],[Game]],Table14[Game],Table14[release_year])</f>
        <v>2025</v>
      </c>
    </row>
    <row r="389" spans="1:9" x14ac:dyDescent="0.3">
      <c r="A389" s="1">
        <v>330</v>
      </c>
      <c r="B389" t="s">
        <v>11</v>
      </c>
      <c r="C389" t="s">
        <v>342</v>
      </c>
      <c r="D389" t="s">
        <v>854</v>
      </c>
      <c r="E389" s="4">
        <v>0.248</v>
      </c>
      <c r="F389" t="s">
        <v>1041</v>
      </c>
      <c r="H389">
        <f>IFERROR(_xlfn.XLOOKUP(Table1[[#This Row],[Marker]],Table2[Marker],Table2[ID]),-1)</f>
        <v>-1</v>
      </c>
      <c r="I389">
        <f>_xlfn.XLOOKUP(Table1[[#This Row],[Game]],Table14[Game],Table14[release_year])</f>
        <v>2025</v>
      </c>
    </row>
    <row r="390" spans="1:9" x14ac:dyDescent="0.3">
      <c r="A390" s="1">
        <v>331</v>
      </c>
      <c r="B390" t="s">
        <v>11</v>
      </c>
      <c r="C390" t="s">
        <v>343</v>
      </c>
      <c r="D390" t="s">
        <v>855</v>
      </c>
      <c r="E390" s="4">
        <v>0.24100000000000002</v>
      </c>
      <c r="F390" t="s">
        <v>1041</v>
      </c>
      <c r="H390">
        <f>IFERROR(_xlfn.XLOOKUP(Table1[[#This Row],[Marker]],Table2[Marker],Table2[ID]),-1)</f>
        <v>-1</v>
      </c>
      <c r="I390">
        <f>_xlfn.XLOOKUP(Table1[[#This Row],[Game]],Table14[Game],Table14[release_year])</f>
        <v>2025</v>
      </c>
    </row>
    <row r="391" spans="1:9" x14ac:dyDescent="0.3">
      <c r="A391" s="1">
        <v>332</v>
      </c>
      <c r="B391" t="s">
        <v>11</v>
      </c>
      <c r="C391" t="s">
        <v>344</v>
      </c>
      <c r="D391" t="s">
        <v>856</v>
      </c>
      <c r="E391" s="4">
        <v>0.23899999999999999</v>
      </c>
      <c r="F391" t="s">
        <v>1041</v>
      </c>
      <c r="H391">
        <f>IFERROR(_xlfn.XLOOKUP(Table1[[#This Row],[Marker]],Table2[Marker],Table2[ID]),-1)</f>
        <v>-1</v>
      </c>
      <c r="I391">
        <f>_xlfn.XLOOKUP(Table1[[#This Row],[Game]],Table14[Game],Table14[release_year])</f>
        <v>2025</v>
      </c>
    </row>
    <row r="392" spans="1:9" x14ac:dyDescent="0.3">
      <c r="A392" s="1">
        <v>333</v>
      </c>
      <c r="B392" t="s">
        <v>11</v>
      </c>
      <c r="C392" t="s">
        <v>345</v>
      </c>
      <c r="D392" t="s">
        <v>857</v>
      </c>
      <c r="E392" s="4">
        <v>0.215</v>
      </c>
      <c r="F392" t="s">
        <v>1041</v>
      </c>
      <c r="H392">
        <f>IFERROR(_xlfn.XLOOKUP(Table1[[#This Row],[Marker]],Table2[Marker],Table2[ID]),-1)</f>
        <v>-1</v>
      </c>
      <c r="I392">
        <f>_xlfn.XLOOKUP(Table1[[#This Row],[Game]],Table14[Game],Table14[release_year])</f>
        <v>2025</v>
      </c>
    </row>
    <row r="393" spans="1:9" x14ac:dyDescent="0.3">
      <c r="A393" s="1">
        <v>334</v>
      </c>
      <c r="B393" t="s">
        <v>11</v>
      </c>
      <c r="C393" t="s">
        <v>346</v>
      </c>
      <c r="D393" t="s">
        <v>858</v>
      </c>
      <c r="E393" s="4">
        <v>0.20899999999999999</v>
      </c>
      <c r="F393" t="s">
        <v>1041</v>
      </c>
      <c r="H393">
        <f>IFERROR(_xlfn.XLOOKUP(Table1[[#This Row],[Marker]],Table2[Marker],Table2[ID]),-1)</f>
        <v>-1</v>
      </c>
      <c r="I393">
        <f>_xlfn.XLOOKUP(Table1[[#This Row],[Game]],Table14[Game],Table14[release_year])</f>
        <v>2025</v>
      </c>
    </row>
    <row r="394" spans="1:9" x14ac:dyDescent="0.3">
      <c r="A394" s="1">
        <v>335</v>
      </c>
      <c r="B394" t="s">
        <v>11</v>
      </c>
      <c r="C394" t="s">
        <v>347</v>
      </c>
      <c r="D394" t="s">
        <v>859</v>
      </c>
      <c r="E394" s="4">
        <v>0.20199999999999999</v>
      </c>
      <c r="F394" t="s">
        <v>1041</v>
      </c>
      <c r="H394">
        <f>IFERROR(_xlfn.XLOOKUP(Table1[[#This Row],[Marker]],Table2[Marker],Table2[ID]),-1)</f>
        <v>-1</v>
      </c>
      <c r="I394">
        <f>_xlfn.XLOOKUP(Table1[[#This Row],[Game]],Table14[Game],Table14[release_year])</f>
        <v>2025</v>
      </c>
    </row>
    <row r="395" spans="1:9" x14ac:dyDescent="0.3">
      <c r="A395" s="1">
        <v>336</v>
      </c>
      <c r="B395" t="s">
        <v>11</v>
      </c>
      <c r="C395" t="s">
        <v>348</v>
      </c>
      <c r="D395" t="s">
        <v>860</v>
      </c>
      <c r="E395" s="4">
        <v>0.20100000000000001</v>
      </c>
      <c r="F395" t="s">
        <v>1041</v>
      </c>
      <c r="H395">
        <f>IFERROR(_xlfn.XLOOKUP(Table1[[#This Row],[Marker]],Table2[Marker],Table2[ID]),-1)</f>
        <v>-1</v>
      </c>
      <c r="I395">
        <f>_xlfn.XLOOKUP(Table1[[#This Row],[Game]],Table14[Game],Table14[release_year])</f>
        <v>2025</v>
      </c>
    </row>
    <row r="396" spans="1:9" x14ac:dyDescent="0.3">
      <c r="A396" s="1">
        <v>337</v>
      </c>
      <c r="B396" t="s">
        <v>11</v>
      </c>
      <c r="C396" t="s">
        <v>349</v>
      </c>
      <c r="D396" t="s">
        <v>861</v>
      </c>
      <c r="E396" s="4">
        <v>0.20100000000000001</v>
      </c>
      <c r="F396" t="s">
        <v>1041</v>
      </c>
      <c r="G396" t="s">
        <v>1276</v>
      </c>
      <c r="H396">
        <f>IFERROR(_xlfn.XLOOKUP(Table1[[#This Row],[Marker]],Table2[Marker],Table2[ID]),-1)</f>
        <v>5</v>
      </c>
      <c r="I396">
        <f>_xlfn.XLOOKUP(Table1[[#This Row],[Game]],Table14[Game],Table14[release_year])</f>
        <v>2025</v>
      </c>
    </row>
    <row r="397" spans="1:9" x14ac:dyDescent="0.3">
      <c r="A397" s="1">
        <v>338</v>
      </c>
      <c r="B397" t="s">
        <v>11</v>
      </c>
      <c r="C397" t="s">
        <v>303</v>
      </c>
      <c r="D397" t="s">
        <v>815</v>
      </c>
      <c r="E397" s="4">
        <v>0.20100000000000001</v>
      </c>
      <c r="F397" t="s">
        <v>1041</v>
      </c>
      <c r="H397">
        <f>IFERROR(_xlfn.XLOOKUP(Table1[[#This Row],[Marker]],Table2[Marker],Table2[ID]),-1)</f>
        <v>-1</v>
      </c>
      <c r="I397">
        <f>_xlfn.XLOOKUP(Table1[[#This Row],[Game]],Table14[Game],Table14[release_year])</f>
        <v>2025</v>
      </c>
    </row>
    <row r="398" spans="1:9" x14ac:dyDescent="0.3">
      <c r="A398" s="1">
        <v>339</v>
      </c>
      <c r="B398" t="s">
        <v>11</v>
      </c>
      <c r="C398" t="s">
        <v>350</v>
      </c>
      <c r="D398" t="s">
        <v>862</v>
      </c>
      <c r="E398" s="4">
        <v>0.2</v>
      </c>
      <c r="F398" t="s">
        <v>1041</v>
      </c>
      <c r="H398">
        <f>IFERROR(_xlfn.XLOOKUP(Table1[[#This Row],[Marker]],Table2[Marker],Table2[ID]),-1)</f>
        <v>-1</v>
      </c>
      <c r="I398">
        <f>_xlfn.XLOOKUP(Table1[[#This Row],[Game]],Table14[Game],Table14[release_year])</f>
        <v>2025</v>
      </c>
    </row>
    <row r="399" spans="1:9" x14ac:dyDescent="0.3">
      <c r="A399" s="1">
        <v>340</v>
      </c>
      <c r="B399" t="s">
        <v>11</v>
      </c>
      <c r="C399" t="s">
        <v>307</v>
      </c>
      <c r="D399" t="s">
        <v>819</v>
      </c>
      <c r="E399" s="4">
        <v>0.188</v>
      </c>
      <c r="F399" t="s">
        <v>1041</v>
      </c>
      <c r="H399">
        <f>IFERROR(_xlfn.XLOOKUP(Table1[[#This Row],[Marker]],Table2[Marker],Table2[ID]),-1)</f>
        <v>-1</v>
      </c>
      <c r="I399">
        <f>_xlfn.XLOOKUP(Table1[[#This Row],[Game]],Table14[Game],Table14[release_year])</f>
        <v>2025</v>
      </c>
    </row>
    <row r="400" spans="1:9" x14ac:dyDescent="0.3">
      <c r="A400" s="1">
        <v>341</v>
      </c>
      <c r="B400" t="s">
        <v>11</v>
      </c>
      <c r="C400" t="s">
        <v>351</v>
      </c>
      <c r="D400" t="s">
        <v>863</v>
      </c>
      <c r="E400" s="4">
        <v>0.18600000000000003</v>
      </c>
      <c r="F400" t="s">
        <v>1041</v>
      </c>
      <c r="H400">
        <f>IFERROR(_xlfn.XLOOKUP(Table1[[#This Row],[Marker]],Table2[Marker],Table2[ID]),-1)</f>
        <v>-1</v>
      </c>
      <c r="I400">
        <f>_xlfn.XLOOKUP(Table1[[#This Row],[Game]],Table14[Game],Table14[release_year])</f>
        <v>2025</v>
      </c>
    </row>
    <row r="401" spans="1:9" x14ac:dyDescent="0.3">
      <c r="A401" s="1">
        <v>342</v>
      </c>
      <c r="B401" t="s">
        <v>11</v>
      </c>
      <c r="C401" t="s">
        <v>352</v>
      </c>
      <c r="D401" t="s">
        <v>864</v>
      </c>
      <c r="E401" s="4">
        <v>0.18600000000000003</v>
      </c>
      <c r="F401" t="s">
        <v>1041</v>
      </c>
      <c r="H401">
        <f>IFERROR(_xlfn.XLOOKUP(Table1[[#This Row],[Marker]],Table2[Marker],Table2[ID]),-1)</f>
        <v>-1</v>
      </c>
      <c r="I401">
        <f>_xlfn.XLOOKUP(Table1[[#This Row],[Game]],Table14[Game],Table14[release_year])</f>
        <v>2025</v>
      </c>
    </row>
    <row r="402" spans="1:9" x14ac:dyDescent="0.3">
      <c r="A402" s="1">
        <v>343</v>
      </c>
      <c r="B402" t="s">
        <v>11</v>
      </c>
      <c r="C402" t="s">
        <v>353</v>
      </c>
      <c r="D402" t="s">
        <v>865</v>
      </c>
      <c r="E402" s="4">
        <v>0.184</v>
      </c>
      <c r="F402" t="s">
        <v>1041</v>
      </c>
      <c r="H402">
        <f>IFERROR(_xlfn.XLOOKUP(Table1[[#This Row],[Marker]],Table2[Marker],Table2[ID]),-1)</f>
        <v>-1</v>
      </c>
      <c r="I402">
        <f>_xlfn.XLOOKUP(Table1[[#This Row],[Game]],Table14[Game],Table14[release_year])</f>
        <v>2025</v>
      </c>
    </row>
    <row r="403" spans="1:9" x14ac:dyDescent="0.3">
      <c r="A403" s="1">
        <v>344</v>
      </c>
      <c r="B403" t="s">
        <v>11</v>
      </c>
      <c r="C403" t="s">
        <v>354</v>
      </c>
      <c r="D403" t="s">
        <v>866</v>
      </c>
      <c r="E403" s="4">
        <v>0.17100000000000001</v>
      </c>
      <c r="F403" t="s">
        <v>1041</v>
      </c>
      <c r="H403">
        <f>IFERROR(_xlfn.XLOOKUP(Table1[[#This Row],[Marker]],Table2[Marker],Table2[ID]),-1)</f>
        <v>-1</v>
      </c>
      <c r="I403">
        <f>_xlfn.XLOOKUP(Table1[[#This Row],[Game]],Table14[Game],Table14[release_year])</f>
        <v>2025</v>
      </c>
    </row>
    <row r="404" spans="1:9" x14ac:dyDescent="0.3">
      <c r="A404" s="1">
        <v>345</v>
      </c>
      <c r="B404" t="s">
        <v>11</v>
      </c>
      <c r="C404" t="s">
        <v>355</v>
      </c>
      <c r="D404" t="s">
        <v>867</v>
      </c>
      <c r="E404" s="4">
        <v>0.16200000000000001</v>
      </c>
      <c r="F404" t="s">
        <v>1041</v>
      </c>
      <c r="H404">
        <f>IFERROR(_xlfn.XLOOKUP(Table1[[#This Row],[Marker]],Table2[Marker],Table2[ID]),-1)</f>
        <v>-1</v>
      </c>
      <c r="I404">
        <f>_xlfn.XLOOKUP(Table1[[#This Row],[Game]],Table14[Game],Table14[release_year])</f>
        <v>2025</v>
      </c>
    </row>
    <row r="405" spans="1:9" x14ac:dyDescent="0.3">
      <c r="A405" s="1">
        <v>346</v>
      </c>
      <c r="B405" t="s">
        <v>11</v>
      </c>
      <c r="C405" t="s">
        <v>356</v>
      </c>
      <c r="D405" t="s">
        <v>868</v>
      </c>
      <c r="E405" s="4">
        <v>0.16</v>
      </c>
      <c r="F405" t="s">
        <v>1041</v>
      </c>
      <c r="G405" t="s">
        <v>1278</v>
      </c>
      <c r="H405">
        <f>IFERROR(_xlfn.XLOOKUP(Table1[[#This Row],[Marker]],Table2[Marker],Table2[ID]),-1)</f>
        <v>7</v>
      </c>
      <c r="I405">
        <f>_xlfn.XLOOKUP(Table1[[#This Row],[Game]],Table14[Game],Table14[release_year])</f>
        <v>2025</v>
      </c>
    </row>
    <row r="406" spans="1:9" x14ac:dyDescent="0.3">
      <c r="A406" s="1">
        <v>347</v>
      </c>
      <c r="B406" t="s">
        <v>11</v>
      </c>
      <c r="C406" t="s">
        <v>357</v>
      </c>
      <c r="D406" t="s">
        <v>869</v>
      </c>
      <c r="E406" s="4">
        <v>0.121</v>
      </c>
      <c r="F406" t="s">
        <v>1041</v>
      </c>
      <c r="H406">
        <f>IFERROR(_xlfn.XLOOKUP(Table1[[#This Row],[Marker]],Table2[Marker],Table2[ID]),-1)</f>
        <v>-1</v>
      </c>
      <c r="I406">
        <f>_xlfn.XLOOKUP(Table1[[#This Row],[Game]],Table14[Game],Table14[release_year])</f>
        <v>2025</v>
      </c>
    </row>
    <row r="407" spans="1:9" x14ac:dyDescent="0.3">
      <c r="A407" s="1">
        <v>348</v>
      </c>
      <c r="B407" t="s">
        <v>11</v>
      </c>
      <c r="C407" t="s">
        <v>358</v>
      </c>
      <c r="D407" t="s">
        <v>870</v>
      </c>
      <c r="E407" s="4">
        <v>0.1</v>
      </c>
      <c r="F407" t="s">
        <v>1041</v>
      </c>
      <c r="H407">
        <f>IFERROR(_xlfn.XLOOKUP(Table1[[#This Row],[Marker]],Table2[Marker],Table2[ID]),-1)</f>
        <v>-1</v>
      </c>
      <c r="I407">
        <f>_xlfn.XLOOKUP(Table1[[#This Row],[Game]],Table14[Game],Table14[release_year])</f>
        <v>2025</v>
      </c>
    </row>
    <row r="408" spans="1:9" x14ac:dyDescent="0.3">
      <c r="A408" s="1">
        <v>349</v>
      </c>
      <c r="B408" t="s">
        <v>11</v>
      </c>
      <c r="C408" t="s">
        <v>359</v>
      </c>
      <c r="D408" t="s">
        <v>871</v>
      </c>
      <c r="E408" s="4">
        <v>9.6000000000000002E-2</v>
      </c>
      <c r="F408" t="s">
        <v>1041</v>
      </c>
      <c r="H408">
        <f>IFERROR(_xlfn.XLOOKUP(Table1[[#This Row],[Marker]],Table2[Marker],Table2[ID]),-1)</f>
        <v>-1</v>
      </c>
      <c r="I408">
        <f>_xlfn.XLOOKUP(Table1[[#This Row],[Game]],Table14[Game],Table14[release_year])</f>
        <v>2025</v>
      </c>
    </row>
    <row r="409" spans="1:9" x14ac:dyDescent="0.3">
      <c r="A409" s="1">
        <v>350</v>
      </c>
      <c r="B409" t="s">
        <v>11</v>
      </c>
      <c r="C409" t="s">
        <v>360</v>
      </c>
      <c r="D409" t="s">
        <v>872</v>
      </c>
      <c r="E409" s="4">
        <v>0.08</v>
      </c>
      <c r="F409" t="s">
        <v>1041</v>
      </c>
      <c r="H409">
        <f>IFERROR(_xlfn.XLOOKUP(Table1[[#This Row],[Marker]],Table2[Marker],Table2[ID]),-1)</f>
        <v>-1</v>
      </c>
      <c r="I409">
        <f>_xlfn.XLOOKUP(Table1[[#This Row],[Game]],Table14[Game],Table14[release_year])</f>
        <v>2025</v>
      </c>
    </row>
    <row r="410" spans="1:9" x14ac:dyDescent="0.3">
      <c r="A410" s="1">
        <v>351</v>
      </c>
      <c r="B410" t="s">
        <v>11</v>
      </c>
      <c r="C410" t="s">
        <v>273</v>
      </c>
      <c r="D410" t="s">
        <v>873</v>
      </c>
      <c r="E410" s="4">
        <v>7.5999999999999998E-2</v>
      </c>
      <c r="F410" t="s">
        <v>1041</v>
      </c>
      <c r="H410">
        <f>IFERROR(_xlfn.XLOOKUP(Table1[[#This Row],[Marker]],Table2[Marker],Table2[ID]),-1)</f>
        <v>-1</v>
      </c>
      <c r="I410">
        <f>_xlfn.XLOOKUP(Table1[[#This Row],[Game]],Table14[Game],Table14[release_year])</f>
        <v>2025</v>
      </c>
    </row>
    <row r="411" spans="1:9" x14ac:dyDescent="0.3">
      <c r="A411" s="1">
        <v>352</v>
      </c>
      <c r="B411" t="s">
        <v>11</v>
      </c>
      <c r="C411" t="s">
        <v>361</v>
      </c>
      <c r="D411" t="s">
        <v>874</v>
      </c>
      <c r="E411" s="4">
        <v>7.5999999999999998E-2</v>
      </c>
      <c r="F411" t="s">
        <v>1041</v>
      </c>
      <c r="H411">
        <f>IFERROR(_xlfn.XLOOKUP(Table1[[#This Row],[Marker]],Table2[Marker],Table2[ID]),-1)</f>
        <v>-1</v>
      </c>
      <c r="I411">
        <f>_xlfn.XLOOKUP(Table1[[#This Row],[Game]],Table14[Game],Table14[release_year])</f>
        <v>2025</v>
      </c>
    </row>
    <row r="412" spans="1:9" x14ac:dyDescent="0.3">
      <c r="A412" s="1">
        <v>353</v>
      </c>
      <c r="B412" t="s">
        <v>11</v>
      </c>
      <c r="C412" t="s">
        <v>308</v>
      </c>
      <c r="D412" t="s">
        <v>875</v>
      </c>
      <c r="E412" s="4">
        <v>7.0000000000000007E-2</v>
      </c>
      <c r="F412" t="s">
        <v>1041</v>
      </c>
      <c r="H412">
        <f>IFERROR(_xlfn.XLOOKUP(Table1[[#This Row],[Marker]],Table2[Marker],Table2[ID]),-1)</f>
        <v>-1</v>
      </c>
      <c r="I412">
        <f>_xlfn.XLOOKUP(Table1[[#This Row],[Game]],Table14[Game],Table14[release_year])</f>
        <v>2025</v>
      </c>
    </row>
    <row r="413" spans="1:9" x14ac:dyDescent="0.3">
      <c r="A413" s="1">
        <v>354</v>
      </c>
      <c r="B413" t="s">
        <v>11</v>
      </c>
      <c r="C413" t="s">
        <v>305</v>
      </c>
      <c r="D413" t="s">
        <v>876</v>
      </c>
      <c r="E413" s="4">
        <v>6.8000000000000005E-2</v>
      </c>
      <c r="F413" t="s">
        <v>1041</v>
      </c>
      <c r="H413">
        <f>IFERROR(_xlfn.XLOOKUP(Table1[[#This Row],[Marker]],Table2[Marker],Table2[ID]),-1)</f>
        <v>-1</v>
      </c>
      <c r="I413">
        <f>_xlfn.XLOOKUP(Table1[[#This Row],[Game]],Table14[Game],Table14[release_year])</f>
        <v>2025</v>
      </c>
    </row>
    <row r="414" spans="1:9" x14ac:dyDescent="0.3">
      <c r="A414" s="1">
        <v>355</v>
      </c>
      <c r="B414" t="s">
        <v>11</v>
      </c>
      <c r="C414" t="s">
        <v>362</v>
      </c>
      <c r="D414" t="s">
        <v>877</v>
      </c>
      <c r="E414" s="4">
        <v>6.8000000000000005E-2</v>
      </c>
      <c r="F414" t="s">
        <v>1041</v>
      </c>
      <c r="H414">
        <f>IFERROR(_xlfn.XLOOKUP(Table1[[#This Row],[Marker]],Table2[Marker],Table2[ID]),-1)</f>
        <v>-1</v>
      </c>
      <c r="I414">
        <f>_xlfn.XLOOKUP(Table1[[#This Row],[Game]],Table14[Game],Table14[release_year])</f>
        <v>2025</v>
      </c>
    </row>
    <row r="415" spans="1:9" x14ac:dyDescent="0.3">
      <c r="A415" s="1">
        <v>356</v>
      </c>
      <c r="B415" t="s">
        <v>11</v>
      </c>
      <c r="C415" t="s">
        <v>363</v>
      </c>
      <c r="D415" t="s">
        <v>878</v>
      </c>
      <c r="E415" s="4">
        <v>6.3E-2</v>
      </c>
      <c r="F415" t="s">
        <v>1041</v>
      </c>
      <c r="H415">
        <f>IFERROR(_xlfn.XLOOKUP(Table1[[#This Row],[Marker]],Table2[Marker],Table2[ID]),-1)</f>
        <v>-1</v>
      </c>
      <c r="I415">
        <f>_xlfn.XLOOKUP(Table1[[#This Row],[Game]],Table14[Game],Table14[release_year])</f>
        <v>2025</v>
      </c>
    </row>
    <row r="416" spans="1:9" x14ac:dyDescent="0.3">
      <c r="A416" s="1">
        <v>357</v>
      </c>
      <c r="B416" t="s">
        <v>11</v>
      </c>
      <c r="C416" t="s">
        <v>310</v>
      </c>
      <c r="D416" t="s">
        <v>879</v>
      </c>
      <c r="E416" s="4">
        <v>5.4000000000000006E-2</v>
      </c>
      <c r="F416" t="s">
        <v>1041</v>
      </c>
      <c r="H416">
        <f>IFERROR(_xlfn.XLOOKUP(Table1[[#This Row],[Marker]],Table2[Marker],Table2[ID]),-1)</f>
        <v>-1</v>
      </c>
      <c r="I416">
        <f>_xlfn.XLOOKUP(Table1[[#This Row],[Game]],Table14[Game],Table14[release_year])</f>
        <v>2025</v>
      </c>
    </row>
    <row r="417" spans="1:9" x14ac:dyDescent="0.3">
      <c r="A417" s="1">
        <v>358</v>
      </c>
      <c r="B417" t="s">
        <v>11</v>
      </c>
      <c r="C417" t="s">
        <v>364</v>
      </c>
      <c r="D417" t="s">
        <v>880</v>
      </c>
      <c r="E417" s="4">
        <v>5.2000000000000005E-2</v>
      </c>
      <c r="F417" t="s">
        <v>1041</v>
      </c>
      <c r="H417">
        <f>IFERROR(_xlfn.XLOOKUP(Table1[[#This Row],[Marker]],Table2[Marker],Table2[ID]),-1)</f>
        <v>-1</v>
      </c>
      <c r="I417">
        <f>_xlfn.XLOOKUP(Table1[[#This Row],[Game]],Table14[Game],Table14[release_year])</f>
        <v>2025</v>
      </c>
    </row>
    <row r="418" spans="1:9" x14ac:dyDescent="0.3">
      <c r="A418" s="1">
        <v>359</v>
      </c>
      <c r="B418" t="s">
        <v>11</v>
      </c>
      <c r="C418" t="s">
        <v>365</v>
      </c>
      <c r="D418" t="s">
        <v>821</v>
      </c>
      <c r="E418" s="4">
        <v>5.2000000000000005E-2</v>
      </c>
      <c r="F418" t="s">
        <v>1041</v>
      </c>
      <c r="H418">
        <f>IFERROR(_xlfn.XLOOKUP(Table1[[#This Row],[Marker]],Table2[Marker],Table2[ID]),-1)</f>
        <v>-1</v>
      </c>
      <c r="I418">
        <f>_xlfn.XLOOKUP(Table1[[#This Row],[Game]],Table14[Game],Table14[release_year])</f>
        <v>2025</v>
      </c>
    </row>
    <row r="419" spans="1:9" x14ac:dyDescent="0.3">
      <c r="A419" s="1">
        <v>360</v>
      </c>
      <c r="B419" t="s">
        <v>11</v>
      </c>
      <c r="C419" t="s">
        <v>311</v>
      </c>
      <c r="D419" t="s">
        <v>823</v>
      </c>
      <c r="E419" s="4">
        <v>4.4999999999999998E-2</v>
      </c>
      <c r="F419" t="s">
        <v>1041</v>
      </c>
      <c r="H419">
        <f>IFERROR(_xlfn.XLOOKUP(Table1[[#This Row],[Marker]],Table2[Marker],Table2[ID]),-1)</f>
        <v>-1</v>
      </c>
      <c r="I419">
        <f>_xlfn.XLOOKUP(Table1[[#This Row],[Game]],Table14[Game],Table14[release_year])</f>
        <v>2025</v>
      </c>
    </row>
    <row r="420" spans="1:9" x14ac:dyDescent="0.3">
      <c r="A420" s="1">
        <v>361</v>
      </c>
      <c r="B420" t="s">
        <v>11</v>
      </c>
      <c r="C420" t="s">
        <v>312</v>
      </c>
      <c r="D420" t="s">
        <v>824</v>
      </c>
      <c r="E420" s="4">
        <v>3.7999999999999999E-2</v>
      </c>
      <c r="F420" t="s">
        <v>1041</v>
      </c>
      <c r="H420">
        <f>IFERROR(_xlfn.XLOOKUP(Table1[[#This Row],[Marker]],Table2[Marker],Table2[ID]),-1)</f>
        <v>-1</v>
      </c>
      <c r="I420">
        <f>_xlfn.XLOOKUP(Table1[[#This Row],[Game]],Table14[Game],Table14[release_year])</f>
        <v>2025</v>
      </c>
    </row>
    <row r="421" spans="1:9" x14ac:dyDescent="0.3">
      <c r="A421" s="1">
        <v>247</v>
      </c>
      <c r="B421" t="s">
        <v>10</v>
      </c>
      <c r="C421" t="s">
        <v>261</v>
      </c>
      <c r="D421" t="s">
        <v>773</v>
      </c>
      <c r="E421" s="4">
        <v>0.89900000000000002</v>
      </c>
      <c r="F421" s="2" t="s">
        <v>1050</v>
      </c>
      <c r="G421" t="s">
        <v>1272</v>
      </c>
      <c r="H421">
        <f>IFERROR(_xlfn.XLOOKUP(Table1[[#This Row],[Marker]],Table2[Marker],Table2[ID]),-1)</f>
        <v>1</v>
      </c>
      <c r="I421">
        <f>_xlfn.XLOOKUP(Table1[[#This Row],[Game]],Table14[Game],Table14[release_year])</f>
        <v>2017</v>
      </c>
    </row>
    <row r="422" spans="1:9" x14ac:dyDescent="0.3">
      <c r="A422" s="1">
        <v>248</v>
      </c>
      <c r="B422" t="s">
        <v>10</v>
      </c>
      <c r="C422" t="s">
        <v>262</v>
      </c>
      <c r="D422" t="s">
        <v>774</v>
      </c>
      <c r="E422" s="4">
        <v>0.875</v>
      </c>
      <c r="F422" s="2" t="s">
        <v>1051</v>
      </c>
      <c r="H422">
        <f>IFERROR(_xlfn.XLOOKUP(Table1[[#This Row],[Marker]],Table2[Marker],Table2[ID]),-1)</f>
        <v>-1</v>
      </c>
      <c r="I422">
        <f>_xlfn.XLOOKUP(Table1[[#This Row],[Game]],Table14[Game],Table14[release_year])</f>
        <v>2017</v>
      </c>
    </row>
    <row r="423" spans="1:9" x14ac:dyDescent="0.3">
      <c r="A423" s="1">
        <v>249</v>
      </c>
      <c r="B423" t="s">
        <v>10</v>
      </c>
      <c r="C423" t="s">
        <v>263</v>
      </c>
      <c r="D423" t="s">
        <v>775</v>
      </c>
      <c r="E423" s="4">
        <v>0.85499999999999998</v>
      </c>
      <c r="F423" t="s">
        <v>1041</v>
      </c>
      <c r="G423" t="s">
        <v>1273</v>
      </c>
      <c r="H423">
        <f>IFERROR(_xlfn.XLOOKUP(Table1[[#This Row],[Marker]],Table2[Marker],Table2[ID]),-1)</f>
        <v>2</v>
      </c>
      <c r="I423">
        <f>_xlfn.XLOOKUP(Table1[[#This Row],[Game]],Table14[Game],Table14[release_year])</f>
        <v>2017</v>
      </c>
    </row>
    <row r="424" spans="1:9" x14ac:dyDescent="0.3">
      <c r="A424" s="1">
        <v>250</v>
      </c>
      <c r="B424" t="s">
        <v>10</v>
      </c>
      <c r="C424" t="s">
        <v>264</v>
      </c>
      <c r="D424" t="s">
        <v>776</v>
      </c>
      <c r="E424" s="4">
        <v>0.81799999999999995</v>
      </c>
      <c r="F424" t="s">
        <v>1041</v>
      </c>
      <c r="H424">
        <f>IFERROR(_xlfn.XLOOKUP(Table1[[#This Row],[Marker]],Table2[Marker],Table2[ID]),-1)</f>
        <v>-1</v>
      </c>
      <c r="I424">
        <f>_xlfn.XLOOKUP(Table1[[#This Row],[Game]],Table14[Game],Table14[release_year])</f>
        <v>2017</v>
      </c>
    </row>
    <row r="425" spans="1:9" x14ac:dyDescent="0.3">
      <c r="A425" s="1">
        <v>251</v>
      </c>
      <c r="B425" t="s">
        <v>10</v>
      </c>
      <c r="C425" t="s">
        <v>265</v>
      </c>
      <c r="D425" t="s">
        <v>777</v>
      </c>
      <c r="E425" s="4">
        <v>0.77099999999999991</v>
      </c>
      <c r="F425" t="s">
        <v>1041</v>
      </c>
      <c r="H425">
        <f>IFERROR(_xlfn.XLOOKUP(Table1[[#This Row],[Marker]],Table2[Marker],Table2[ID]),-1)</f>
        <v>-1</v>
      </c>
      <c r="I425">
        <f>_xlfn.XLOOKUP(Table1[[#This Row],[Game]],Table14[Game],Table14[release_year])</f>
        <v>2017</v>
      </c>
    </row>
    <row r="426" spans="1:9" x14ac:dyDescent="0.3">
      <c r="A426" s="1">
        <v>252</v>
      </c>
      <c r="B426" t="s">
        <v>10</v>
      </c>
      <c r="C426" t="s">
        <v>266</v>
      </c>
      <c r="D426" t="s">
        <v>778</v>
      </c>
      <c r="E426" s="4">
        <v>0.75</v>
      </c>
      <c r="F426" t="s">
        <v>1041</v>
      </c>
      <c r="H426">
        <f>IFERROR(_xlfn.XLOOKUP(Table1[[#This Row],[Marker]],Table2[Marker],Table2[ID]),-1)</f>
        <v>-1</v>
      </c>
      <c r="I426">
        <f>_xlfn.XLOOKUP(Table1[[#This Row],[Game]],Table14[Game],Table14[release_year])</f>
        <v>2017</v>
      </c>
    </row>
    <row r="427" spans="1:9" x14ac:dyDescent="0.3">
      <c r="A427" s="1">
        <v>253</v>
      </c>
      <c r="B427" t="s">
        <v>10</v>
      </c>
      <c r="C427" t="s">
        <v>267</v>
      </c>
      <c r="D427" t="s">
        <v>779</v>
      </c>
      <c r="E427" s="4">
        <v>0.70900000000000007</v>
      </c>
      <c r="F427" t="s">
        <v>1041</v>
      </c>
      <c r="H427">
        <f>IFERROR(_xlfn.XLOOKUP(Table1[[#This Row],[Marker]],Table2[Marker],Table2[ID]),-1)</f>
        <v>-1</v>
      </c>
      <c r="I427">
        <f>_xlfn.XLOOKUP(Table1[[#This Row],[Game]],Table14[Game],Table14[release_year])</f>
        <v>2017</v>
      </c>
    </row>
    <row r="428" spans="1:9" x14ac:dyDescent="0.3">
      <c r="A428" s="1">
        <v>254</v>
      </c>
      <c r="B428" t="s">
        <v>10</v>
      </c>
      <c r="C428" t="s">
        <v>268</v>
      </c>
      <c r="D428" t="s">
        <v>780</v>
      </c>
      <c r="E428" s="4">
        <v>0.66299999999999992</v>
      </c>
      <c r="F428" t="s">
        <v>1041</v>
      </c>
      <c r="H428">
        <f>IFERROR(_xlfn.XLOOKUP(Table1[[#This Row],[Marker]],Table2[Marker],Table2[ID]),-1)</f>
        <v>-1</v>
      </c>
      <c r="I428">
        <f>_xlfn.XLOOKUP(Table1[[#This Row],[Game]],Table14[Game],Table14[release_year])</f>
        <v>2017</v>
      </c>
    </row>
    <row r="429" spans="1:9" x14ac:dyDescent="0.3">
      <c r="A429" s="1">
        <v>255</v>
      </c>
      <c r="B429" t="s">
        <v>10</v>
      </c>
      <c r="C429" t="s">
        <v>269</v>
      </c>
      <c r="D429" t="s">
        <v>781</v>
      </c>
      <c r="E429" s="4">
        <v>0.65</v>
      </c>
      <c r="F429" t="s">
        <v>1041</v>
      </c>
      <c r="H429">
        <f>IFERROR(_xlfn.XLOOKUP(Table1[[#This Row],[Marker]],Table2[Marker],Table2[ID]),-1)</f>
        <v>-1</v>
      </c>
      <c r="I429">
        <f>_xlfn.XLOOKUP(Table1[[#This Row],[Game]],Table14[Game],Table14[release_year])</f>
        <v>2017</v>
      </c>
    </row>
    <row r="430" spans="1:9" x14ac:dyDescent="0.3">
      <c r="A430" s="1">
        <v>256</v>
      </c>
      <c r="B430" t="s">
        <v>10</v>
      </c>
      <c r="C430" t="s">
        <v>270</v>
      </c>
      <c r="D430" t="s">
        <v>782</v>
      </c>
      <c r="E430" s="4">
        <v>0.626</v>
      </c>
      <c r="F430" t="s">
        <v>1041</v>
      </c>
      <c r="H430">
        <f>IFERROR(_xlfn.XLOOKUP(Table1[[#This Row],[Marker]],Table2[Marker],Table2[ID]),-1)</f>
        <v>-1</v>
      </c>
      <c r="I430">
        <f>_xlfn.XLOOKUP(Table1[[#This Row],[Game]],Table14[Game],Table14[release_year])</f>
        <v>2017</v>
      </c>
    </row>
    <row r="431" spans="1:9" x14ac:dyDescent="0.3">
      <c r="A431" s="1">
        <v>257</v>
      </c>
      <c r="B431" t="s">
        <v>10</v>
      </c>
      <c r="C431" t="s">
        <v>271</v>
      </c>
      <c r="D431" t="s">
        <v>783</v>
      </c>
      <c r="E431" s="4">
        <v>0.59399999999999997</v>
      </c>
      <c r="F431" t="s">
        <v>1041</v>
      </c>
      <c r="G431" t="s">
        <v>1274</v>
      </c>
      <c r="H431">
        <f>IFERROR(_xlfn.XLOOKUP(Table1[[#This Row],[Marker]],Table2[Marker],Table2[ID]),-1)</f>
        <v>3</v>
      </c>
      <c r="I431">
        <f>_xlfn.XLOOKUP(Table1[[#This Row],[Game]],Table14[Game],Table14[release_year])</f>
        <v>2017</v>
      </c>
    </row>
    <row r="432" spans="1:9" x14ac:dyDescent="0.3">
      <c r="A432" s="1">
        <v>258</v>
      </c>
      <c r="B432" t="s">
        <v>10</v>
      </c>
      <c r="C432" t="s">
        <v>272</v>
      </c>
      <c r="D432" t="s">
        <v>784</v>
      </c>
      <c r="E432" s="4">
        <v>0.57299999999999995</v>
      </c>
      <c r="F432" t="s">
        <v>1041</v>
      </c>
      <c r="H432">
        <f>IFERROR(_xlfn.XLOOKUP(Table1[[#This Row],[Marker]],Table2[Marker],Table2[ID]),-1)</f>
        <v>-1</v>
      </c>
      <c r="I432">
        <f>_xlfn.XLOOKUP(Table1[[#This Row],[Game]],Table14[Game],Table14[release_year])</f>
        <v>2017</v>
      </c>
    </row>
    <row r="433" spans="1:9" x14ac:dyDescent="0.3">
      <c r="A433" s="1">
        <v>259</v>
      </c>
      <c r="B433" t="s">
        <v>10</v>
      </c>
      <c r="C433" t="s">
        <v>273</v>
      </c>
      <c r="D433" t="s">
        <v>785</v>
      </c>
      <c r="E433" s="4">
        <v>0.54</v>
      </c>
      <c r="F433" t="s">
        <v>1041</v>
      </c>
      <c r="H433">
        <f>IFERROR(_xlfn.XLOOKUP(Table1[[#This Row],[Marker]],Table2[Marker],Table2[ID]),-1)</f>
        <v>-1</v>
      </c>
      <c r="I433">
        <f>_xlfn.XLOOKUP(Table1[[#This Row],[Game]],Table14[Game],Table14[release_year])</f>
        <v>2017</v>
      </c>
    </row>
    <row r="434" spans="1:9" x14ac:dyDescent="0.3">
      <c r="A434" s="1">
        <v>260</v>
      </c>
      <c r="B434" t="s">
        <v>10</v>
      </c>
      <c r="C434" t="s">
        <v>274</v>
      </c>
      <c r="D434" t="s">
        <v>786</v>
      </c>
      <c r="E434" s="4">
        <v>0.51800000000000002</v>
      </c>
      <c r="F434" t="s">
        <v>1041</v>
      </c>
      <c r="H434">
        <f>IFERROR(_xlfn.XLOOKUP(Table1[[#This Row],[Marker]],Table2[Marker],Table2[ID]),-1)</f>
        <v>-1</v>
      </c>
      <c r="I434">
        <f>_xlfn.XLOOKUP(Table1[[#This Row],[Game]],Table14[Game],Table14[release_year])</f>
        <v>2017</v>
      </c>
    </row>
    <row r="435" spans="1:9" x14ac:dyDescent="0.3">
      <c r="A435" s="1">
        <v>261</v>
      </c>
      <c r="B435" t="s">
        <v>10</v>
      </c>
      <c r="C435" t="s">
        <v>275</v>
      </c>
      <c r="D435" t="s">
        <v>787</v>
      </c>
      <c r="E435" s="4">
        <v>0.504</v>
      </c>
      <c r="F435" t="s">
        <v>1041</v>
      </c>
      <c r="H435">
        <f>IFERROR(_xlfn.XLOOKUP(Table1[[#This Row],[Marker]],Table2[Marker],Table2[ID]),-1)</f>
        <v>-1</v>
      </c>
      <c r="I435">
        <f>_xlfn.XLOOKUP(Table1[[#This Row],[Game]],Table14[Game],Table14[release_year])</f>
        <v>2017</v>
      </c>
    </row>
    <row r="436" spans="1:9" x14ac:dyDescent="0.3">
      <c r="A436" s="1">
        <v>262</v>
      </c>
      <c r="B436" t="s">
        <v>10</v>
      </c>
      <c r="C436" t="s">
        <v>276</v>
      </c>
      <c r="D436" t="s">
        <v>788</v>
      </c>
      <c r="E436" s="4">
        <v>0.47899999999999998</v>
      </c>
      <c r="F436" t="s">
        <v>1041</v>
      </c>
      <c r="H436">
        <f>IFERROR(_xlfn.XLOOKUP(Table1[[#This Row],[Marker]],Table2[Marker],Table2[ID]),-1)</f>
        <v>-1</v>
      </c>
      <c r="I436">
        <f>_xlfn.XLOOKUP(Table1[[#This Row],[Game]],Table14[Game],Table14[release_year])</f>
        <v>2017</v>
      </c>
    </row>
    <row r="437" spans="1:9" x14ac:dyDescent="0.3">
      <c r="A437" s="1">
        <v>263</v>
      </c>
      <c r="B437" t="s">
        <v>10</v>
      </c>
      <c r="C437" t="s">
        <v>277</v>
      </c>
      <c r="D437" t="s">
        <v>789</v>
      </c>
      <c r="E437" s="4">
        <v>0.47299999999999998</v>
      </c>
      <c r="F437" t="s">
        <v>1041</v>
      </c>
      <c r="H437">
        <f>IFERROR(_xlfn.XLOOKUP(Table1[[#This Row],[Marker]],Table2[Marker],Table2[ID]),-1)</f>
        <v>-1</v>
      </c>
      <c r="I437">
        <f>_xlfn.XLOOKUP(Table1[[#This Row],[Game]],Table14[Game],Table14[release_year])</f>
        <v>2017</v>
      </c>
    </row>
    <row r="438" spans="1:9" x14ac:dyDescent="0.3">
      <c r="A438" s="1">
        <v>264</v>
      </c>
      <c r="B438" t="s">
        <v>10</v>
      </c>
      <c r="C438" t="s">
        <v>278</v>
      </c>
      <c r="D438" t="s">
        <v>790</v>
      </c>
      <c r="E438" s="4">
        <v>0.46500000000000002</v>
      </c>
      <c r="F438" t="s">
        <v>1041</v>
      </c>
      <c r="H438">
        <f>IFERROR(_xlfn.XLOOKUP(Table1[[#This Row],[Marker]],Table2[Marker],Table2[ID]),-1)</f>
        <v>-1</v>
      </c>
      <c r="I438">
        <f>_xlfn.XLOOKUP(Table1[[#This Row],[Game]],Table14[Game],Table14[release_year])</f>
        <v>2017</v>
      </c>
    </row>
    <row r="439" spans="1:9" x14ac:dyDescent="0.3">
      <c r="A439" s="1">
        <v>265</v>
      </c>
      <c r="B439" t="s">
        <v>10</v>
      </c>
      <c r="C439" t="s">
        <v>279</v>
      </c>
      <c r="D439" t="s">
        <v>791</v>
      </c>
      <c r="E439" s="4">
        <v>0.46299999999999997</v>
      </c>
      <c r="F439" t="s">
        <v>1041</v>
      </c>
      <c r="H439">
        <f>IFERROR(_xlfn.XLOOKUP(Table1[[#This Row],[Marker]],Table2[Marker],Table2[ID]),-1)</f>
        <v>-1</v>
      </c>
      <c r="I439">
        <f>_xlfn.XLOOKUP(Table1[[#This Row],[Game]],Table14[Game],Table14[release_year])</f>
        <v>2017</v>
      </c>
    </row>
    <row r="440" spans="1:9" x14ac:dyDescent="0.3">
      <c r="A440" s="1">
        <v>266</v>
      </c>
      <c r="B440" t="s">
        <v>10</v>
      </c>
      <c r="C440" t="s">
        <v>280</v>
      </c>
      <c r="D440" t="s">
        <v>792</v>
      </c>
      <c r="E440" s="4">
        <v>0.45600000000000002</v>
      </c>
      <c r="F440" t="s">
        <v>1041</v>
      </c>
      <c r="H440">
        <f>IFERROR(_xlfn.XLOOKUP(Table1[[#This Row],[Marker]],Table2[Marker],Table2[ID]),-1)</f>
        <v>-1</v>
      </c>
      <c r="I440">
        <f>_xlfn.XLOOKUP(Table1[[#This Row],[Game]],Table14[Game],Table14[release_year])</f>
        <v>2017</v>
      </c>
    </row>
    <row r="441" spans="1:9" x14ac:dyDescent="0.3">
      <c r="A441" s="1">
        <v>267</v>
      </c>
      <c r="B441" t="s">
        <v>10</v>
      </c>
      <c r="C441" t="s">
        <v>281</v>
      </c>
      <c r="D441" t="s">
        <v>793</v>
      </c>
      <c r="E441" s="4">
        <v>0.439</v>
      </c>
      <c r="F441" t="s">
        <v>1041</v>
      </c>
      <c r="H441">
        <f>IFERROR(_xlfn.XLOOKUP(Table1[[#This Row],[Marker]],Table2[Marker],Table2[ID]),-1)</f>
        <v>-1</v>
      </c>
      <c r="I441">
        <f>_xlfn.XLOOKUP(Table1[[#This Row],[Game]],Table14[Game],Table14[release_year])</f>
        <v>2017</v>
      </c>
    </row>
    <row r="442" spans="1:9" x14ac:dyDescent="0.3">
      <c r="A442" s="1">
        <v>268</v>
      </c>
      <c r="B442" t="s">
        <v>10</v>
      </c>
      <c r="C442" t="s">
        <v>282</v>
      </c>
      <c r="D442" t="s">
        <v>794</v>
      </c>
      <c r="E442" s="4">
        <v>0.42399999999999999</v>
      </c>
      <c r="F442" t="s">
        <v>1041</v>
      </c>
      <c r="H442">
        <f>IFERROR(_xlfn.XLOOKUP(Table1[[#This Row],[Marker]],Table2[Marker],Table2[ID]),-1)</f>
        <v>-1</v>
      </c>
      <c r="I442">
        <f>_xlfn.XLOOKUP(Table1[[#This Row],[Game]],Table14[Game],Table14[release_year])</f>
        <v>2017</v>
      </c>
    </row>
    <row r="443" spans="1:9" x14ac:dyDescent="0.3">
      <c r="A443" s="1">
        <v>269</v>
      </c>
      <c r="B443" t="s">
        <v>10</v>
      </c>
      <c r="C443" t="s">
        <v>283</v>
      </c>
      <c r="D443" t="s">
        <v>795</v>
      </c>
      <c r="E443" s="4">
        <v>0.42299999999999999</v>
      </c>
      <c r="F443" t="s">
        <v>1041</v>
      </c>
      <c r="H443">
        <f>IFERROR(_xlfn.XLOOKUP(Table1[[#This Row],[Marker]],Table2[Marker],Table2[ID]),-1)</f>
        <v>-1</v>
      </c>
      <c r="I443">
        <f>_xlfn.XLOOKUP(Table1[[#This Row],[Game]],Table14[Game],Table14[release_year])</f>
        <v>2017</v>
      </c>
    </row>
    <row r="444" spans="1:9" x14ac:dyDescent="0.3">
      <c r="A444" s="1">
        <v>270</v>
      </c>
      <c r="B444" t="s">
        <v>10</v>
      </c>
      <c r="C444" t="s">
        <v>284</v>
      </c>
      <c r="D444" t="s">
        <v>796</v>
      </c>
      <c r="E444" s="4">
        <v>0.40600000000000003</v>
      </c>
      <c r="F444" t="s">
        <v>1041</v>
      </c>
      <c r="G444" t="s">
        <v>1275</v>
      </c>
      <c r="H444">
        <f>IFERROR(_xlfn.XLOOKUP(Table1[[#This Row],[Marker]],Table2[Marker],Table2[ID]),-1)</f>
        <v>4</v>
      </c>
      <c r="I444">
        <f>_xlfn.XLOOKUP(Table1[[#This Row],[Game]],Table14[Game],Table14[release_year])</f>
        <v>2017</v>
      </c>
    </row>
    <row r="445" spans="1:9" x14ac:dyDescent="0.3">
      <c r="A445" s="1">
        <v>271</v>
      </c>
      <c r="B445" t="s">
        <v>10</v>
      </c>
      <c r="C445" t="s">
        <v>285</v>
      </c>
      <c r="D445" t="s">
        <v>797</v>
      </c>
      <c r="E445" s="4">
        <v>0.40500000000000003</v>
      </c>
      <c r="F445" t="s">
        <v>1041</v>
      </c>
      <c r="H445">
        <f>IFERROR(_xlfn.XLOOKUP(Table1[[#This Row],[Marker]],Table2[Marker],Table2[ID]),-1)</f>
        <v>-1</v>
      </c>
      <c r="I445">
        <f>_xlfn.XLOOKUP(Table1[[#This Row],[Game]],Table14[Game],Table14[release_year])</f>
        <v>2017</v>
      </c>
    </row>
    <row r="446" spans="1:9" x14ac:dyDescent="0.3">
      <c r="A446" s="1">
        <v>272</v>
      </c>
      <c r="B446" t="s">
        <v>10</v>
      </c>
      <c r="C446" t="s">
        <v>286</v>
      </c>
      <c r="D446" t="s">
        <v>798</v>
      </c>
      <c r="E446" s="4">
        <v>0.39200000000000002</v>
      </c>
      <c r="F446" t="s">
        <v>1041</v>
      </c>
      <c r="H446">
        <f>IFERROR(_xlfn.XLOOKUP(Table1[[#This Row],[Marker]],Table2[Marker],Table2[ID]),-1)</f>
        <v>-1</v>
      </c>
      <c r="I446">
        <f>_xlfn.XLOOKUP(Table1[[#This Row],[Game]],Table14[Game],Table14[release_year])</f>
        <v>2017</v>
      </c>
    </row>
    <row r="447" spans="1:9" x14ac:dyDescent="0.3">
      <c r="A447" s="1">
        <v>273</v>
      </c>
      <c r="B447" t="s">
        <v>10</v>
      </c>
      <c r="C447" t="s">
        <v>287</v>
      </c>
      <c r="D447" t="s">
        <v>799</v>
      </c>
      <c r="E447" s="4">
        <v>0.38799999999999996</v>
      </c>
      <c r="F447" t="s">
        <v>1041</v>
      </c>
      <c r="H447">
        <f>IFERROR(_xlfn.XLOOKUP(Table1[[#This Row],[Marker]],Table2[Marker],Table2[ID]),-1)</f>
        <v>-1</v>
      </c>
      <c r="I447">
        <f>_xlfn.XLOOKUP(Table1[[#This Row],[Game]],Table14[Game],Table14[release_year])</f>
        <v>2017</v>
      </c>
    </row>
    <row r="448" spans="1:9" x14ac:dyDescent="0.3">
      <c r="A448" s="1">
        <v>274</v>
      </c>
      <c r="B448" t="s">
        <v>10</v>
      </c>
      <c r="C448" t="s">
        <v>288</v>
      </c>
      <c r="D448" t="s">
        <v>800</v>
      </c>
      <c r="E448" s="4">
        <v>0.35</v>
      </c>
      <c r="F448" t="s">
        <v>1041</v>
      </c>
      <c r="H448">
        <f>IFERROR(_xlfn.XLOOKUP(Table1[[#This Row],[Marker]],Table2[Marker],Table2[ID]),-1)</f>
        <v>-1</v>
      </c>
      <c r="I448">
        <f>_xlfn.XLOOKUP(Table1[[#This Row],[Game]],Table14[Game],Table14[release_year])</f>
        <v>2017</v>
      </c>
    </row>
    <row r="449" spans="1:9" x14ac:dyDescent="0.3">
      <c r="A449" s="1">
        <v>275</v>
      </c>
      <c r="B449" t="s">
        <v>10</v>
      </c>
      <c r="C449" t="s">
        <v>289</v>
      </c>
      <c r="D449" t="s">
        <v>801</v>
      </c>
      <c r="E449" s="4">
        <v>0.33700000000000002</v>
      </c>
      <c r="F449" t="s">
        <v>1041</v>
      </c>
      <c r="H449">
        <f>IFERROR(_xlfn.XLOOKUP(Table1[[#This Row],[Marker]],Table2[Marker],Table2[ID]),-1)</f>
        <v>-1</v>
      </c>
      <c r="I449">
        <f>_xlfn.XLOOKUP(Table1[[#This Row],[Game]],Table14[Game],Table14[release_year])</f>
        <v>2017</v>
      </c>
    </row>
    <row r="450" spans="1:9" x14ac:dyDescent="0.3">
      <c r="A450" s="1">
        <v>276</v>
      </c>
      <c r="B450" t="s">
        <v>10</v>
      </c>
      <c r="C450" t="s">
        <v>290</v>
      </c>
      <c r="D450" t="s">
        <v>802</v>
      </c>
      <c r="E450" s="4">
        <v>0.33399999999999996</v>
      </c>
      <c r="F450" t="s">
        <v>1041</v>
      </c>
      <c r="H450">
        <f>IFERROR(_xlfn.XLOOKUP(Table1[[#This Row],[Marker]],Table2[Marker],Table2[ID]),-1)</f>
        <v>-1</v>
      </c>
      <c r="I450">
        <f>_xlfn.XLOOKUP(Table1[[#This Row],[Game]],Table14[Game],Table14[release_year])</f>
        <v>2017</v>
      </c>
    </row>
    <row r="451" spans="1:9" x14ac:dyDescent="0.3">
      <c r="A451" s="1">
        <v>277</v>
      </c>
      <c r="B451" t="s">
        <v>10</v>
      </c>
      <c r="C451" t="s">
        <v>291</v>
      </c>
      <c r="D451" t="s">
        <v>803</v>
      </c>
      <c r="E451" s="4">
        <v>0.33200000000000002</v>
      </c>
      <c r="F451" t="s">
        <v>1041</v>
      </c>
      <c r="H451">
        <f>IFERROR(_xlfn.XLOOKUP(Table1[[#This Row],[Marker]],Table2[Marker],Table2[ID]),-1)</f>
        <v>-1</v>
      </c>
      <c r="I451">
        <f>_xlfn.XLOOKUP(Table1[[#This Row],[Game]],Table14[Game],Table14[release_year])</f>
        <v>2017</v>
      </c>
    </row>
    <row r="452" spans="1:9" x14ac:dyDescent="0.3">
      <c r="A452" s="1">
        <v>278</v>
      </c>
      <c r="B452" t="s">
        <v>10</v>
      </c>
      <c r="C452" t="s">
        <v>292</v>
      </c>
      <c r="D452" t="s">
        <v>804</v>
      </c>
      <c r="E452" s="4">
        <v>0.32299999999999995</v>
      </c>
      <c r="F452" t="s">
        <v>1041</v>
      </c>
      <c r="H452">
        <f>IFERROR(_xlfn.XLOOKUP(Table1[[#This Row],[Marker]],Table2[Marker],Table2[ID]),-1)</f>
        <v>-1</v>
      </c>
      <c r="I452">
        <f>_xlfn.XLOOKUP(Table1[[#This Row],[Game]],Table14[Game],Table14[release_year])</f>
        <v>2017</v>
      </c>
    </row>
    <row r="453" spans="1:9" x14ac:dyDescent="0.3">
      <c r="A453" s="1">
        <v>279</v>
      </c>
      <c r="B453" t="s">
        <v>10</v>
      </c>
      <c r="C453" t="s">
        <v>293</v>
      </c>
      <c r="D453" t="s">
        <v>805</v>
      </c>
      <c r="E453" s="4">
        <v>0.32100000000000001</v>
      </c>
      <c r="F453" t="s">
        <v>1041</v>
      </c>
      <c r="H453">
        <f>IFERROR(_xlfn.XLOOKUP(Table1[[#This Row],[Marker]],Table2[Marker],Table2[ID]),-1)</f>
        <v>-1</v>
      </c>
      <c r="I453">
        <f>_xlfn.XLOOKUP(Table1[[#This Row],[Game]],Table14[Game],Table14[release_year])</f>
        <v>2017</v>
      </c>
    </row>
    <row r="454" spans="1:9" x14ac:dyDescent="0.3">
      <c r="A454" s="1">
        <v>280</v>
      </c>
      <c r="B454" t="s">
        <v>10</v>
      </c>
      <c r="C454" t="s">
        <v>294</v>
      </c>
      <c r="D454" t="s">
        <v>806</v>
      </c>
      <c r="E454" s="4">
        <v>0.32</v>
      </c>
      <c r="F454" t="s">
        <v>1041</v>
      </c>
      <c r="H454">
        <f>IFERROR(_xlfn.XLOOKUP(Table1[[#This Row],[Marker]],Table2[Marker],Table2[ID]),-1)</f>
        <v>-1</v>
      </c>
      <c r="I454">
        <f>_xlfn.XLOOKUP(Table1[[#This Row],[Game]],Table14[Game],Table14[release_year])</f>
        <v>2017</v>
      </c>
    </row>
    <row r="455" spans="1:9" x14ac:dyDescent="0.3">
      <c r="A455" s="1">
        <v>281</v>
      </c>
      <c r="B455" t="s">
        <v>10</v>
      </c>
      <c r="C455" t="s">
        <v>295</v>
      </c>
      <c r="D455" t="s">
        <v>807</v>
      </c>
      <c r="E455" s="4">
        <v>0.31</v>
      </c>
      <c r="F455" t="s">
        <v>1041</v>
      </c>
      <c r="H455">
        <f>IFERROR(_xlfn.XLOOKUP(Table1[[#This Row],[Marker]],Table2[Marker],Table2[ID]),-1)</f>
        <v>-1</v>
      </c>
      <c r="I455">
        <f>_xlfn.XLOOKUP(Table1[[#This Row],[Game]],Table14[Game],Table14[release_year])</f>
        <v>2017</v>
      </c>
    </row>
    <row r="456" spans="1:9" x14ac:dyDescent="0.3">
      <c r="A456" s="1">
        <v>282</v>
      </c>
      <c r="B456" t="s">
        <v>10</v>
      </c>
      <c r="C456" t="s">
        <v>296</v>
      </c>
      <c r="D456" t="s">
        <v>808</v>
      </c>
      <c r="E456" s="4">
        <v>0.30399999999999999</v>
      </c>
      <c r="F456" t="s">
        <v>1041</v>
      </c>
      <c r="H456">
        <f>IFERROR(_xlfn.XLOOKUP(Table1[[#This Row],[Marker]],Table2[Marker],Table2[ID]),-1)</f>
        <v>-1</v>
      </c>
      <c r="I456">
        <f>_xlfn.XLOOKUP(Table1[[#This Row],[Game]],Table14[Game],Table14[release_year])</f>
        <v>2017</v>
      </c>
    </row>
    <row r="457" spans="1:9" x14ac:dyDescent="0.3">
      <c r="A457" s="1">
        <v>283</v>
      </c>
      <c r="B457" t="s">
        <v>10</v>
      </c>
      <c r="C457" t="s">
        <v>297</v>
      </c>
      <c r="D457" t="s">
        <v>809</v>
      </c>
      <c r="E457" s="4">
        <v>0.30099999999999999</v>
      </c>
      <c r="F457" t="s">
        <v>1041</v>
      </c>
      <c r="H457">
        <f>IFERROR(_xlfn.XLOOKUP(Table1[[#This Row],[Marker]],Table2[Marker],Table2[ID]),-1)</f>
        <v>-1</v>
      </c>
      <c r="I457">
        <f>_xlfn.XLOOKUP(Table1[[#This Row],[Game]],Table14[Game],Table14[release_year])</f>
        <v>2017</v>
      </c>
    </row>
    <row r="458" spans="1:9" x14ac:dyDescent="0.3">
      <c r="A458" s="1">
        <v>284</v>
      </c>
      <c r="B458" t="s">
        <v>10</v>
      </c>
      <c r="C458" t="s">
        <v>298</v>
      </c>
      <c r="D458" t="s">
        <v>810</v>
      </c>
      <c r="E458" s="4">
        <v>0.29299999999999998</v>
      </c>
      <c r="F458" t="s">
        <v>1041</v>
      </c>
      <c r="G458" t="s">
        <v>1276</v>
      </c>
      <c r="H458">
        <f>IFERROR(_xlfn.XLOOKUP(Table1[[#This Row],[Marker]],Table2[Marker],Table2[ID]),-1)</f>
        <v>5</v>
      </c>
      <c r="I458">
        <f>_xlfn.XLOOKUP(Table1[[#This Row],[Game]],Table14[Game],Table14[release_year])</f>
        <v>2017</v>
      </c>
    </row>
    <row r="459" spans="1:9" x14ac:dyDescent="0.3">
      <c r="A459" s="1">
        <v>285</v>
      </c>
      <c r="B459" t="s">
        <v>10</v>
      </c>
      <c r="C459" t="s">
        <v>299</v>
      </c>
      <c r="D459" t="s">
        <v>811</v>
      </c>
      <c r="E459" s="4">
        <v>0.29199999999999998</v>
      </c>
      <c r="F459" t="s">
        <v>1041</v>
      </c>
      <c r="H459">
        <f>IFERROR(_xlfn.XLOOKUP(Table1[[#This Row],[Marker]],Table2[Marker],Table2[ID]),-1)</f>
        <v>-1</v>
      </c>
      <c r="I459">
        <f>_xlfn.XLOOKUP(Table1[[#This Row],[Game]],Table14[Game],Table14[release_year])</f>
        <v>2017</v>
      </c>
    </row>
    <row r="460" spans="1:9" x14ac:dyDescent="0.3">
      <c r="A460" s="1">
        <v>286</v>
      </c>
      <c r="B460" t="s">
        <v>10</v>
      </c>
      <c r="C460" t="s">
        <v>300</v>
      </c>
      <c r="D460" t="s">
        <v>812</v>
      </c>
      <c r="E460" s="4">
        <v>0.28899999999999998</v>
      </c>
      <c r="F460" t="s">
        <v>1041</v>
      </c>
      <c r="H460">
        <f>IFERROR(_xlfn.XLOOKUP(Table1[[#This Row],[Marker]],Table2[Marker],Table2[ID]),-1)</f>
        <v>-1</v>
      </c>
      <c r="I460">
        <f>_xlfn.XLOOKUP(Table1[[#This Row],[Game]],Table14[Game],Table14[release_year])</f>
        <v>2017</v>
      </c>
    </row>
    <row r="461" spans="1:9" x14ac:dyDescent="0.3">
      <c r="A461" s="1">
        <v>287</v>
      </c>
      <c r="B461" t="s">
        <v>10</v>
      </c>
      <c r="C461" t="s">
        <v>301</v>
      </c>
      <c r="D461" t="s">
        <v>813</v>
      </c>
      <c r="E461" s="4">
        <v>0.25900000000000001</v>
      </c>
      <c r="F461" t="s">
        <v>1041</v>
      </c>
      <c r="H461">
        <f>IFERROR(_xlfn.XLOOKUP(Table1[[#This Row],[Marker]],Table2[Marker],Table2[ID]),-1)</f>
        <v>-1</v>
      </c>
      <c r="I461">
        <f>_xlfn.XLOOKUP(Table1[[#This Row],[Game]],Table14[Game],Table14[release_year])</f>
        <v>2017</v>
      </c>
    </row>
    <row r="462" spans="1:9" x14ac:dyDescent="0.3">
      <c r="A462" s="1">
        <v>288</v>
      </c>
      <c r="B462" t="s">
        <v>10</v>
      </c>
      <c r="C462" t="s">
        <v>302</v>
      </c>
      <c r="D462" t="s">
        <v>814</v>
      </c>
      <c r="E462" s="4">
        <v>0.23699999999999999</v>
      </c>
      <c r="F462" t="s">
        <v>1041</v>
      </c>
      <c r="H462">
        <f>IFERROR(_xlfn.XLOOKUP(Table1[[#This Row],[Marker]],Table2[Marker],Table2[ID]),-1)</f>
        <v>-1</v>
      </c>
      <c r="I462">
        <f>_xlfn.XLOOKUP(Table1[[#This Row],[Game]],Table14[Game],Table14[release_year])</f>
        <v>2017</v>
      </c>
    </row>
    <row r="463" spans="1:9" x14ac:dyDescent="0.3">
      <c r="A463" s="1">
        <v>289</v>
      </c>
      <c r="B463" t="s">
        <v>10</v>
      </c>
      <c r="C463" t="s">
        <v>303</v>
      </c>
      <c r="D463" t="s">
        <v>815</v>
      </c>
      <c r="E463" s="4">
        <v>0.23100000000000001</v>
      </c>
      <c r="F463" t="s">
        <v>1041</v>
      </c>
      <c r="H463">
        <f>IFERROR(_xlfn.XLOOKUP(Table1[[#This Row],[Marker]],Table2[Marker],Table2[ID]),-1)</f>
        <v>-1</v>
      </c>
      <c r="I463">
        <f>_xlfn.XLOOKUP(Table1[[#This Row],[Game]],Table14[Game],Table14[release_year])</f>
        <v>2017</v>
      </c>
    </row>
    <row r="464" spans="1:9" x14ac:dyDescent="0.3">
      <c r="A464" s="1">
        <v>290</v>
      </c>
      <c r="B464" t="s">
        <v>10</v>
      </c>
      <c r="C464" t="s">
        <v>304</v>
      </c>
      <c r="D464" t="s">
        <v>816</v>
      </c>
      <c r="E464" s="4">
        <v>0.21100000000000002</v>
      </c>
      <c r="F464" t="s">
        <v>1041</v>
      </c>
      <c r="H464">
        <f>IFERROR(_xlfn.XLOOKUP(Table1[[#This Row],[Marker]],Table2[Marker],Table2[ID]),-1)</f>
        <v>-1</v>
      </c>
      <c r="I464">
        <f>_xlfn.XLOOKUP(Table1[[#This Row],[Game]],Table14[Game],Table14[release_year])</f>
        <v>2017</v>
      </c>
    </row>
    <row r="465" spans="1:9" x14ac:dyDescent="0.3">
      <c r="A465" s="1">
        <v>291</v>
      </c>
      <c r="B465" t="s">
        <v>10</v>
      </c>
      <c r="C465" t="s">
        <v>305</v>
      </c>
      <c r="D465" t="s">
        <v>817</v>
      </c>
      <c r="E465" s="4">
        <v>0.16899999999999998</v>
      </c>
      <c r="F465" t="s">
        <v>1041</v>
      </c>
      <c r="H465">
        <f>IFERROR(_xlfn.XLOOKUP(Table1[[#This Row],[Marker]],Table2[Marker],Table2[ID]),-1)</f>
        <v>-1</v>
      </c>
      <c r="I465">
        <f>_xlfn.XLOOKUP(Table1[[#This Row],[Game]],Table14[Game],Table14[release_year])</f>
        <v>2017</v>
      </c>
    </row>
    <row r="466" spans="1:9" x14ac:dyDescent="0.3">
      <c r="A466" s="1">
        <v>292</v>
      </c>
      <c r="B466" t="s">
        <v>10</v>
      </c>
      <c r="C466" t="s">
        <v>306</v>
      </c>
      <c r="D466" t="s">
        <v>818</v>
      </c>
      <c r="E466" s="4">
        <v>0.16899999999999998</v>
      </c>
      <c r="F466" t="s">
        <v>1041</v>
      </c>
      <c r="H466">
        <f>IFERROR(_xlfn.XLOOKUP(Table1[[#This Row],[Marker]],Table2[Marker],Table2[ID]),-1)</f>
        <v>-1</v>
      </c>
      <c r="I466">
        <f>_xlfn.XLOOKUP(Table1[[#This Row],[Game]],Table14[Game],Table14[release_year])</f>
        <v>2017</v>
      </c>
    </row>
    <row r="467" spans="1:9" x14ac:dyDescent="0.3">
      <c r="A467" s="1">
        <v>293</v>
      </c>
      <c r="B467" t="s">
        <v>10</v>
      </c>
      <c r="C467" t="s">
        <v>307</v>
      </c>
      <c r="D467" t="s">
        <v>819</v>
      </c>
      <c r="E467" s="4">
        <v>0.16600000000000001</v>
      </c>
      <c r="F467" t="s">
        <v>1041</v>
      </c>
      <c r="H467">
        <f>IFERROR(_xlfn.XLOOKUP(Table1[[#This Row],[Marker]],Table2[Marker],Table2[ID]),-1)</f>
        <v>-1</v>
      </c>
      <c r="I467">
        <f>_xlfn.XLOOKUP(Table1[[#This Row],[Game]],Table14[Game],Table14[release_year])</f>
        <v>2017</v>
      </c>
    </row>
    <row r="468" spans="1:9" x14ac:dyDescent="0.3">
      <c r="A468" s="1">
        <v>294</v>
      </c>
      <c r="B468" t="s">
        <v>10</v>
      </c>
      <c r="C468" t="s">
        <v>308</v>
      </c>
      <c r="D468" t="s">
        <v>820</v>
      </c>
      <c r="E468" s="4">
        <v>9.1999999999999998E-2</v>
      </c>
      <c r="F468" t="s">
        <v>1041</v>
      </c>
      <c r="H468">
        <f>IFERROR(_xlfn.XLOOKUP(Table1[[#This Row],[Marker]],Table2[Marker],Table2[ID]),-1)</f>
        <v>-1</v>
      </c>
      <c r="I468">
        <f>_xlfn.XLOOKUP(Table1[[#This Row],[Game]],Table14[Game],Table14[release_year])</f>
        <v>2017</v>
      </c>
    </row>
    <row r="469" spans="1:9" x14ac:dyDescent="0.3">
      <c r="A469" s="1">
        <v>295</v>
      </c>
      <c r="B469" t="s">
        <v>10</v>
      </c>
      <c r="C469" t="s">
        <v>309</v>
      </c>
      <c r="D469" t="s">
        <v>821</v>
      </c>
      <c r="E469" s="4">
        <v>4.7E-2</v>
      </c>
      <c r="F469" t="s">
        <v>1041</v>
      </c>
      <c r="H469">
        <f>IFERROR(_xlfn.XLOOKUP(Table1[[#This Row],[Marker]],Table2[Marker],Table2[ID]),-1)</f>
        <v>-1</v>
      </c>
      <c r="I469">
        <f>_xlfn.XLOOKUP(Table1[[#This Row],[Game]],Table14[Game],Table14[release_year])</f>
        <v>2017</v>
      </c>
    </row>
    <row r="470" spans="1:9" x14ac:dyDescent="0.3">
      <c r="A470" s="1">
        <v>296</v>
      </c>
      <c r="B470" t="s">
        <v>10</v>
      </c>
      <c r="C470" t="s">
        <v>310</v>
      </c>
      <c r="D470" t="s">
        <v>822</v>
      </c>
      <c r="E470" s="4">
        <v>3.7999999999999999E-2</v>
      </c>
      <c r="F470" t="s">
        <v>1041</v>
      </c>
      <c r="H470">
        <f>IFERROR(_xlfn.XLOOKUP(Table1[[#This Row],[Marker]],Table2[Marker],Table2[ID]),-1)</f>
        <v>-1</v>
      </c>
      <c r="I470">
        <f>_xlfn.XLOOKUP(Table1[[#This Row],[Game]],Table14[Game],Table14[release_year])</f>
        <v>2017</v>
      </c>
    </row>
    <row r="471" spans="1:9" x14ac:dyDescent="0.3">
      <c r="A471" s="1">
        <v>297</v>
      </c>
      <c r="B471" t="s">
        <v>10</v>
      </c>
      <c r="C471" t="s">
        <v>311</v>
      </c>
      <c r="D471" t="s">
        <v>823</v>
      </c>
      <c r="E471" s="4">
        <v>3.6000000000000004E-2</v>
      </c>
      <c r="F471" t="s">
        <v>1041</v>
      </c>
      <c r="H471">
        <f>IFERROR(_xlfn.XLOOKUP(Table1[[#This Row],[Marker]],Table2[Marker],Table2[ID]),-1)</f>
        <v>-1</v>
      </c>
      <c r="I471">
        <f>_xlfn.XLOOKUP(Table1[[#This Row],[Game]],Table14[Game],Table14[release_year])</f>
        <v>2017</v>
      </c>
    </row>
    <row r="472" spans="1:9" x14ac:dyDescent="0.3">
      <c r="A472" s="1">
        <v>298</v>
      </c>
      <c r="B472" t="s">
        <v>10</v>
      </c>
      <c r="C472" t="s">
        <v>312</v>
      </c>
      <c r="D472" t="s">
        <v>824</v>
      </c>
      <c r="E472" s="4">
        <v>2.7999999999999997E-2</v>
      </c>
      <c r="F472" t="s">
        <v>1041</v>
      </c>
      <c r="H472">
        <f>IFERROR(_xlfn.XLOOKUP(Table1[[#This Row],[Marker]],Table2[Marker],Table2[ID]),-1)</f>
        <v>-1</v>
      </c>
      <c r="I472">
        <f>_xlfn.XLOOKUP(Table1[[#This Row],[Game]],Table14[Game],Table14[release_year])</f>
        <v>2017</v>
      </c>
    </row>
    <row r="473" spans="1:9" x14ac:dyDescent="0.3">
      <c r="A473" s="1">
        <v>81</v>
      </c>
      <c r="B473" t="s">
        <v>6</v>
      </c>
      <c r="C473" t="s">
        <v>96</v>
      </c>
      <c r="D473" t="s">
        <v>607</v>
      </c>
      <c r="E473" s="4">
        <v>0.95900000000000007</v>
      </c>
      <c r="F473" s="2" t="s">
        <v>1042</v>
      </c>
      <c r="G473" t="s">
        <v>1272</v>
      </c>
      <c r="H473">
        <f>IFERROR(_xlfn.XLOOKUP(Table1[[#This Row],[Marker]],Table2[Marker],Table2[ID]),-1)</f>
        <v>1</v>
      </c>
      <c r="I473">
        <f>_xlfn.XLOOKUP(Table1[[#This Row],[Game]],Table14[Game],Table14[release_year])</f>
        <v>2023</v>
      </c>
    </row>
    <row r="474" spans="1:9" x14ac:dyDescent="0.3">
      <c r="A474" s="1">
        <v>82</v>
      </c>
      <c r="B474" t="s">
        <v>6</v>
      </c>
      <c r="C474" t="s">
        <v>97</v>
      </c>
      <c r="D474" t="s">
        <v>608</v>
      </c>
      <c r="E474" s="4">
        <v>0.95200000000000007</v>
      </c>
      <c r="F474" s="2" t="s">
        <v>1043</v>
      </c>
      <c r="H474">
        <f>IFERROR(_xlfn.XLOOKUP(Table1[[#This Row],[Marker]],Table2[Marker],Table2[ID]),-1)</f>
        <v>-1</v>
      </c>
      <c r="I474">
        <f>_xlfn.XLOOKUP(Table1[[#This Row],[Game]],Table14[Game],Table14[release_year])</f>
        <v>2023</v>
      </c>
    </row>
    <row r="475" spans="1:9" x14ac:dyDescent="0.3">
      <c r="A475" s="1">
        <v>83</v>
      </c>
      <c r="B475" t="s">
        <v>6</v>
      </c>
      <c r="C475" t="s">
        <v>98</v>
      </c>
      <c r="D475" t="s">
        <v>609</v>
      </c>
      <c r="E475" s="4">
        <v>0.877</v>
      </c>
      <c r="F475" t="s">
        <v>1041</v>
      </c>
      <c r="G475" t="s">
        <v>1273</v>
      </c>
      <c r="H475">
        <f>IFERROR(_xlfn.XLOOKUP(Table1[[#This Row],[Marker]],Table2[Marker],Table2[ID]),-1)</f>
        <v>2</v>
      </c>
      <c r="I475">
        <f>_xlfn.XLOOKUP(Table1[[#This Row],[Game]],Table14[Game],Table14[release_year])</f>
        <v>2023</v>
      </c>
    </row>
    <row r="476" spans="1:9" x14ac:dyDescent="0.3">
      <c r="A476" s="1">
        <v>84</v>
      </c>
      <c r="B476" t="s">
        <v>6</v>
      </c>
      <c r="C476" t="s">
        <v>99</v>
      </c>
      <c r="D476" t="s">
        <v>610</v>
      </c>
      <c r="E476" s="4">
        <v>0.873</v>
      </c>
      <c r="F476" t="s">
        <v>1041</v>
      </c>
      <c r="H476">
        <f>IFERROR(_xlfn.XLOOKUP(Table1[[#This Row],[Marker]],Table2[Marker],Table2[ID]),-1)</f>
        <v>-1</v>
      </c>
      <c r="I476">
        <f>_xlfn.XLOOKUP(Table1[[#This Row],[Game]],Table14[Game],Table14[release_year])</f>
        <v>2023</v>
      </c>
    </row>
    <row r="477" spans="1:9" x14ac:dyDescent="0.3">
      <c r="A477" s="1">
        <v>85</v>
      </c>
      <c r="B477" t="s">
        <v>6</v>
      </c>
      <c r="C477" t="s">
        <v>100</v>
      </c>
      <c r="D477" t="s">
        <v>611</v>
      </c>
      <c r="E477" s="4">
        <v>0.81499999999999995</v>
      </c>
      <c r="F477" t="s">
        <v>1041</v>
      </c>
      <c r="H477">
        <f>IFERROR(_xlfn.XLOOKUP(Table1[[#This Row],[Marker]],Table2[Marker],Table2[ID]),-1)</f>
        <v>-1</v>
      </c>
      <c r="I477">
        <f>_xlfn.XLOOKUP(Table1[[#This Row],[Game]],Table14[Game],Table14[release_year])</f>
        <v>2023</v>
      </c>
    </row>
    <row r="478" spans="1:9" x14ac:dyDescent="0.3">
      <c r="A478" s="1">
        <v>86</v>
      </c>
      <c r="B478" t="s">
        <v>6</v>
      </c>
      <c r="C478" t="s">
        <v>101</v>
      </c>
      <c r="D478" t="s">
        <v>612</v>
      </c>
      <c r="E478" s="4">
        <v>0.77099999999999991</v>
      </c>
      <c r="F478" t="s">
        <v>1041</v>
      </c>
      <c r="H478">
        <f>IFERROR(_xlfn.XLOOKUP(Table1[[#This Row],[Marker]],Table2[Marker],Table2[ID]),-1)</f>
        <v>-1</v>
      </c>
      <c r="I478">
        <f>_xlfn.XLOOKUP(Table1[[#This Row],[Game]],Table14[Game],Table14[release_year])</f>
        <v>2023</v>
      </c>
    </row>
    <row r="479" spans="1:9" x14ac:dyDescent="0.3">
      <c r="A479" s="1">
        <v>87</v>
      </c>
      <c r="B479" t="s">
        <v>6</v>
      </c>
      <c r="C479" t="s">
        <v>102</v>
      </c>
      <c r="D479" t="s">
        <v>613</v>
      </c>
      <c r="E479" s="4">
        <v>0.755</v>
      </c>
      <c r="F479" t="s">
        <v>1041</v>
      </c>
      <c r="H479">
        <f>IFERROR(_xlfn.XLOOKUP(Table1[[#This Row],[Marker]],Table2[Marker],Table2[ID]),-1)</f>
        <v>-1</v>
      </c>
      <c r="I479">
        <f>_xlfn.XLOOKUP(Table1[[#This Row],[Game]],Table14[Game],Table14[release_year])</f>
        <v>2023</v>
      </c>
    </row>
    <row r="480" spans="1:9" x14ac:dyDescent="0.3">
      <c r="A480" s="1">
        <v>88</v>
      </c>
      <c r="B480" t="s">
        <v>6</v>
      </c>
      <c r="C480" t="s">
        <v>103</v>
      </c>
      <c r="D480" t="s">
        <v>614</v>
      </c>
      <c r="E480" s="4">
        <v>0.68299999999999994</v>
      </c>
      <c r="F480" t="s">
        <v>1041</v>
      </c>
      <c r="H480">
        <f>IFERROR(_xlfn.XLOOKUP(Table1[[#This Row],[Marker]],Table2[Marker],Table2[ID]),-1)</f>
        <v>-1</v>
      </c>
      <c r="I480">
        <f>_xlfn.XLOOKUP(Table1[[#This Row],[Game]],Table14[Game],Table14[release_year])</f>
        <v>2023</v>
      </c>
    </row>
    <row r="481" spans="1:9" x14ac:dyDescent="0.3">
      <c r="A481" s="1">
        <v>89</v>
      </c>
      <c r="B481" t="s">
        <v>6</v>
      </c>
      <c r="C481" t="s">
        <v>104</v>
      </c>
      <c r="D481" t="s">
        <v>615</v>
      </c>
      <c r="E481" s="4">
        <v>0.64599999999999991</v>
      </c>
      <c r="F481" t="s">
        <v>1041</v>
      </c>
      <c r="H481">
        <f>IFERROR(_xlfn.XLOOKUP(Table1[[#This Row],[Marker]],Table2[Marker],Table2[ID]),-1)</f>
        <v>-1</v>
      </c>
      <c r="I481">
        <f>_xlfn.XLOOKUP(Table1[[#This Row],[Game]],Table14[Game],Table14[release_year])</f>
        <v>2023</v>
      </c>
    </row>
    <row r="482" spans="1:9" x14ac:dyDescent="0.3">
      <c r="A482" s="1">
        <v>90</v>
      </c>
      <c r="B482" t="s">
        <v>6</v>
      </c>
      <c r="C482" t="s">
        <v>105</v>
      </c>
      <c r="D482" t="s">
        <v>616</v>
      </c>
      <c r="E482" s="4">
        <v>0.623</v>
      </c>
      <c r="F482" t="s">
        <v>1041</v>
      </c>
      <c r="G482" t="s">
        <v>1274</v>
      </c>
      <c r="H482">
        <f>IFERROR(_xlfn.XLOOKUP(Table1[[#This Row],[Marker]],Table2[Marker],Table2[ID]),-1)</f>
        <v>3</v>
      </c>
      <c r="I482">
        <f>_xlfn.XLOOKUP(Table1[[#This Row],[Game]],Table14[Game],Table14[release_year])</f>
        <v>2023</v>
      </c>
    </row>
    <row r="483" spans="1:9" x14ac:dyDescent="0.3">
      <c r="A483" s="1">
        <v>91</v>
      </c>
      <c r="B483" t="s">
        <v>6</v>
      </c>
      <c r="C483" t="s">
        <v>106</v>
      </c>
      <c r="D483" t="s">
        <v>617</v>
      </c>
      <c r="E483" s="4">
        <v>0.59499999999999997</v>
      </c>
      <c r="F483" t="s">
        <v>1041</v>
      </c>
      <c r="H483">
        <f>IFERROR(_xlfn.XLOOKUP(Table1[[#This Row],[Marker]],Table2[Marker],Table2[ID]),-1)</f>
        <v>-1</v>
      </c>
      <c r="I483">
        <f>_xlfn.XLOOKUP(Table1[[#This Row],[Game]],Table14[Game],Table14[release_year])</f>
        <v>2023</v>
      </c>
    </row>
    <row r="484" spans="1:9" x14ac:dyDescent="0.3">
      <c r="A484" s="1">
        <v>92</v>
      </c>
      <c r="B484" t="s">
        <v>6</v>
      </c>
      <c r="C484" t="s">
        <v>107</v>
      </c>
      <c r="D484" t="s">
        <v>618</v>
      </c>
      <c r="E484" s="4">
        <v>0.59099999999999997</v>
      </c>
      <c r="F484" t="s">
        <v>1041</v>
      </c>
      <c r="H484">
        <f>IFERROR(_xlfn.XLOOKUP(Table1[[#This Row],[Marker]],Table2[Marker],Table2[ID]),-1)</f>
        <v>-1</v>
      </c>
      <c r="I484">
        <f>_xlfn.XLOOKUP(Table1[[#This Row],[Game]],Table14[Game],Table14[release_year])</f>
        <v>2023</v>
      </c>
    </row>
    <row r="485" spans="1:9" x14ac:dyDescent="0.3">
      <c r="A485" s="1">
        <v>93</v>
      </c>
      <c r="B485" t="s">
        <v>6</v>
      </c>
      <c r="C485" t="s">
        <v>108</v>
      </c>
      <c r="D485" t="s">
        <v>619</v>
      </c>
      <c r="E485" s="4">
        <v>0.55000000000000004</v>
      </c>
      <c r="F485" t="s">
        <v>1041</v>
      </c>
      <c r="G485" t="s">
        <v>1275</v>
      </c>
      <c r="H485">
        <f>IFERROR(_xlfn.XLOOKUP(Table1[[#This Row],[Marker]],Table2[Marker],Table2[ID]),-1)</f>
        <v>4</v>
      </c>
      <c r="I485">
        <f>_xlfn.XLOOKUP(Table1[[#This Row],[Game]],Table14[Game],Table14[release_year])</f>
        <v>2023</v>
      </c>
    </row>
    <row r="486" spans="1:9" x14ac:dyDescent="0.3">
      <c r="A486" s="1">
        <v>94</v>
      </c>
      <c r="B486" t="s">
        <v>6</v>
      </c>
      <c r="C486" t="s">
        <v>109</v>
      </c>
      <c r="D486" t="s">
        <v>620</v>
      </c>
      <c r="E486" s="4">
        <v>0.54200000000000004</v>
      </c>
      <c r="F486" t="s">
        <v>1041</v>
      </c>
      <c r="H486">
        <f>IFERROR(_xlfn.XLOOKUP(Table1[[#This Row],[Marker]],Table2[Marker],Table2[ID]),-1)</f>
        <v>-1</v>
      </c>
      <c r="I486">
        <f>_xlfn.XLOOKUP(Table1[[#This Row],[Game]],Table14[Game],Table14[release_year])</f>
        <v>2023</v>
      </c>
    </row>
    <row r="487" spans="1:9" x14ac:dyDescent="0.3">
      <c r="A487" s="1">
        <v>95</v>
      </c>
      <c r="B487" t="s">
        <v>6</v>
      </c>
      <c r="C487" t="s">
        <v>110</v>
      </c>
      <c r="D487" t="s">
        <v>621</v>
      </c>
      <c r="E487" s="4">
        <v>0.52200000000000002</v>
      </c>
      <c r="F487" t="s">
        <v>1041</v>
      </c>
      <c r="H487">
        <f>IFERROR(_xlfn.XLOOKUP(Table1[[#This Row],[Marker]],Table2[Marker],Table2[ID]),-1)</f>
        <v>-1</v>
      </c>
      <c r="I487">
        <f>_xlfn.XLOOKUP(Table1[[#This Row],[Game]],Table14[Game],Table14[release_year])</f>
        <v>2023</v>
      </c>
    </row>
    <row r="488" spans="1:9" x14ac:dyDescent="0.3">
      <c r="A488" s="1">
        <v>96</v>
      </c>
      <c r="B488" t="s">
        <v>6</v>
      </c>
      <c r="C488" t="s">
        <v>111</v>
      </c>
      <c r="D488" t="s">
        <v>622</v>
      </c>
      <c r="E488" s="4">
        <v>0.495</v>
      </c>
      <c r="F488" t="s">
        <v>1041</v>
      </c>
      <c r="H488">
        <f>IFERROR(_xlfn.XLOOKUP(Table1[[#This Row],[Marker]],Table2[Marker],Table2[ID]),-1)</f>
        <v>-1</v>
      </c>
      <c r="I488">
        <f>_xlfn.XLOOKUP(Table1[[#This Row],[Game]],Table14[Game],Table14[release_year])</f>
        <v>2023</v>
      </c>
    </row>
    <row r="489" spans="1:9" x14ac:dyDescent="0.3">
      <c r="A489" s="1">
        <v>97</v>
      </c>
      <c r="B489" t="s">
        <v>6</v>
      </c>
      <c r="C489" t="s">
        <v>112</v>
      </c>
      <c r="D489" t="s">
        <v>623</v>
      </c>
      <c r="E489" s="4">
        <v>0.47499999999999998</v>
      </c>
      <c r="F489" t="s">
        <v>1041</v>
      </c>
      <c r="H489">
        <f>IFERROR(_xlfn.XLOOKUP(Table1[[#This Row],[Marker]],Table2[Marker],Table2[ID]),-1)</f>
        <v>-1</v>
      </c>
      <c r="I489">
        <f>_xlfn.XLOOKUP(Table1[[#This Row],[Game]],Table14[Game],Table14[release_year])</f>
        <v>2023</v>
      </c>
    </row>
    <row r="490" spans="1:9" x14ac:dyDescent="0.3">
      <c r="A490" s="1">
        <v>98</v>
      </c>
      <c r="B490" t="s">
        <v>6</v>
      </c>
      <c r="C490" t="s">
        <v>113</v>
      </c>
      <c r="D490" t="s">
        <v>624</v>
      </c>
      <c r="E490" s="4">
        <v>0.47</v>
      </c>
      <c r="F490" t="s">
        <v>1041</v>
      </c>
      <c r="H490">
        <f>IFERROR(_xlfn.XLOOKUP(Table1[[#This Row],[Marker]],Table2[Marker],Table2[ID]),-1)</f>
        <v>-1</v>
      </c>
      <c r="I490">
        <f>_xlfn.XLOOKUP(Table1[[#This Row],[Game]],Table14[Game],Table14[release_year])</f>
        <v>2023</v>
      </c>
    </row>
    <row r="491" spans="1:9" x14ac:dyDescent="0.3">
      <c r="A491" s="1">
        <v>99</v>
      </c>
      <c r="B491" t="s">
        <v>6</v>
      </c>
      <c r="C491" t="s">
        <v>114</v>
      </c>
      <c r="D491" t="s">
        <v>625</v>
      </c>
      <c r="E491" s="4">
        <v>0.46200000000000002</v>
      </c>
      <c r="F491" t="s">
        <v>1041</v>
      </c>
      <c r="H491">
        <f>IFERROR(_xlfn.XLOOKUP(Table1[[#This Row],[Marker]],Table2[Marker],Table2[ID]),-1)</f>
        <v>-1</v>
      </c>
      <c r="I491">
        <f>_xlfn.XLOOKUP(Table1[[#This Row],[Game]],Table14[Game],Table14[release_year])</f>
        <v>2023</v>
      </c>
    </row>
    <row r="492" spans="1:9" x14ac:dyDescent="0.3">
      <c r="A492" s="1">
        <v>100</v>
      </c>
      <c r="B492" t="s">
        <v>6</v>
      </c>
      <c r="C492" t="s">
        <v>115</v>
      </c>
      <c r="D492" t="s">
        <v>626</v>
      </c>
      <c r="E492" s="4">
        <v>0.44900000000000001</v>
      </c>
      <c r="F492" t="s">
        <v>1041</v>
      </c>
      <c r="H492">
        <f>IFERROR(_xlfn.XLOOKUP(Table1[[#This Row],[Marker]],Table2[Marker],Table2[ID]),-1)</f>
        <v>-1</v>
      </c>
      <c r="I492">
        <f>_xlfn.XLOOKUP(Table1[[#This Row],[Game]],Table14[Game],Table14[release_year])</f>
        <v>2023</v>
      </c>
    </row>
    <row r="493" spans="1:9" x14ac:dyDescent="0.3">
      <c r="A493" s="1">
        <v>101</v>
      </c>
      <c r="B493" t="s">
        <v>6</v>
      </c>
      <c r="C493" t="s">
        <v>116</v>
      </c>
      <c r="D493" t="s">
        <v>627</v>
      </c>
      <c r="E493" s="4">
        <v>0.436</v>
      </c>
      <c r="F493" t="s">
        <v>1041</v>
      </c>
      <c r="H493">
        <f>IFERROR(_xlfn.XLOOKUP(Table1[[#This Row],[Marker]],Table2[Marker],Table2[ID]),-1)</f>
        <v>-1</v>
      </c>
      <c r="I493">
        <f>_xlfn.XLOOKUP(Table1[[#This Row],[Game]],Table14[Game],Table14[release_year])</f>
        <v>2023</v>
      </c>
    </row>
    <row r="494" spans="1:9" x14ac:dyDescent="0.3">
      <c r="A494" s="1">
        <v>102</v>
      </c>
      <c r="B494" t="s">
        <v>6</v>
      </c>
      <c r="C494" t="s">
        <v>117</v>
      </c>
      <c r="D494" t="s">
        <v>628</v>
      </c>
      <c r="E494" s="4">
        <v>0.42499999999999999</v>
      </c>
      <c r="F494" t="s">
        <v>1041</v>
      </c>
      <c r="H494">
        <f>IFERROR(_xlfn.XLOOKUP(Table1[[#This Row],[Marker]],Table2[Marker],Table2[ID]),-1)</f>
        <v>-1</v>
      </c>
      <c r="I494">
        <f>_xlfn.XLOOKUP(Table1[[#This Row],[Game]],Table14[Game],Table14[release_year])</f>
        <v>2023</v>
      </c>
    </row>
    <row r="495" spans="1:9" x14ac:dyDescent="0.3">
      <c r="A495" s="1">
        <v>103</v>
      </c>
      <c r="B495" t="s">
        <v>6</v>
      </c>
      <c r="C495" t="s">
        <v>118</v>
      </c>
      <c r="D495" t="s">
        <v>629</v>
      </c>
      <c r="E495" s="4">
        <v>0.42499999999999999</v>
      </c>
      <c r="F495" t="s">
        <v>1041</v>
      </c>
      <c r="H495">
        <f>IFERROR(_xlfn.XLOOKUP(Table1[[#This Row],[Marker]],Table2[Marker],Table2[ID]),-1)</f>
        <v>-1</v>
      </c>
      <c r="I495">
        <f>_xlfn.XLOOKUP(Table1[[#This Row],[Game]],Table14[Game],Table14[release_year])</f>
        <v>2023</v>
      </c>
    </row>
    <row r="496" spans="1:9" x14ac:dyDescent="0.3">
      <c r="A496" s="1">
        <v>104</v>
      </c>
      <c r="B496" t="s">
        <v>6</v>
      </c>
      <c r="C496" t="s">
        <v>119</v>
      </c>
      <c r="D496" t="s">
        <v>630</v>
      </c>
      <c r="E496" s="4">
        <v>0.42200000000000004</v>
      </c>
      <c r="F496" t="s">
        <v>1041</v>
      </c>
      <c r="H496">
        <f>IFERROR(_xlfn.XLOOKUP(Table1[[#This Row],[Marker]],Table2[Marker],Table2[ID]),-1)</f>
        <v>-1</v>
      </c>
      <c r="I496">
        <f>_xlfn.XLOOKUP(Table1[[#This Row],[Game]],Table14[Game],Table14[release_year])</f>
        <v>2023</v>
      </c>
    </row>
    <row r="497" spans="1:9" x14ac:dyDescent="0.3">
      <c r="A497" s="1">
        <v>105</v>
      </c>
      <c r="B497" t="s">
        <v>6</v>
      </c>
      <c r="C497" t="s">
        <v>120</v>
      </c>
      <c r="D497" t="s">
        <v>631</v>
      </c>
      <c r="E497" s="4">
        <v>0.41899999999999998</v>
      </c>
      <c r="F497" t="s">
        <v>1041</v>
      </c>
      <c r="H497">
        <f>IFERROR(_xlfn.XLOOKUP(Table1[[#This Row],[Marker]],Table2[Marker],Table2[ID]),-1)</f>
        <v>-1</v>
      </c>
      <c r="I497">
        <f>_xlfn.XLOOKUP(Table1[[#This Row],[Game]],Table14[Game],Table14[release_year])</f>
        <v>2023</v>
      </c>
    </row>
    <row r="498" spans="1:9" x14ac:dyDescent="0.3">
      <c r="A498" s="1">
        <v>106</v>
      </c>
      <c r="B498" t="s">
        <v>6</v>
      </c>
      <c r="C498" t="s">
        <v>121</v>
      </c>
      <c r="D498" t="s">
        <v>632</v>
      </c>
      <c r="E498" s="4">
        <v>0.374</v>
      </c>
      <c r="F498" t="s">
        <v>1041</v>
      </c>
      <c r="G498" t="s">
        <v>1276</v>
      </c>
      <c r="H498">
        <f>IFERROR(_xlfn.XLOOKUP(Table1[[#This Row],[Marker]],Table2[Marker],Table2[ID]),-1)</f>
        <v>5</v>
      </c>
      <c r="I498">
        <f>_xlfn.XLOOKUP(Table1[[#This Row],[Game]],Table14[Game],Table14[release_year])</f>
        <v>2023</v>
      </c>
    </row>
    <row r="499" spans="1:9" x14ac:dyDescent="0.3">
      <c r="A499" s="1">
        <v>107</v>
      </c>
      <c r="B499" t="s">
        <v>6</v>
      </c>
      <c r="C499" t="s">
        <v>122</v>
      </c>
      <c r="D499" t="s">
        <v>633</v>
      </c>
      <c r="E499" s="4">
        <v>0.36099999999999999</v>
      </c>
      <c r="F499" t="s">
        <v>1041</v>
      </c>
      <c r="H499">
        <f>IFERROR(_xlfn.XLOOKUP(Table1[[#This Row],[Marker]],Table2[Marker],Table2[ID]),-1)</f>
        <v>-1</v>
      </c>
      <c r="I499">
        <f>_xlfn.XLOOKUP(Table1[[#This Row],[Game]],Table14[Game],Table14[release_year])</f>
        <v>2023</v>
      </c>
    </row>
    <row r="500" spans="1:9" x14ac:dyDescent="0.3">
      <c r="A500" s="1">
        <v>108</v>
      </c>
      <c r="B500" t="s">
        <v>6</v>
      </c>
      <c r="C500" t="s">
        <v>123</v>
      </c>
      <c r="D500" t="s">
        <v>634</v>
      </c>
      <c r="E500" s="4">
        <v>0.28899999999999998</v>
      </c>
      <c r="F500" t="s">
        <v>1041</v>
      </c>
      <c r="H500">
        <f>IFERROR(_xlfn.XLOOKUP(Table1[[#This Row],[Marker]],Table2[Marker],Table2[ID]),-1)</f>
        <v>-1</v>
      </c>
      <c r="I500">
        <f>_xlfn.XLOOKUP(Table1[[#This Row],[Game]],Table14[Game],Table14[release_year])</f>
        <v>2023</v>
      </c>
    </row>
    <row r="501" spans="1:9" x14ac:dyDescent="0.3">
      <c r="A501" s="1">
        <v>109</v>
      </c>
      <c r="B501" t="s">
        <v>6</v>
      </c>
      <c r="C501" t="s">
        <v>124</v>
      </c>
      <c r="D501" t="s">
        <v>635</v>
      </c>
      <c r="E501" s="4">
        <v>0.27200000000000002</v>
      </c>
      <c r="F501" t="s">
        <v>1041</v>
      </c>
      <c r="H501">
        <f>IFERROR(_xlfn.XLOOKUP(Table1[[#This Row],[Marker]],Table2[Marker],Table2[ID]),-1)</f>
        <v>-1</v>
      </c>
      <c r="I501">
        <f>_xlfn.XLOOKUP(Table1[[#This Row],[Game]],Table14[Game],Table14[release_year])</f>
        <v>2023</v>
      </c>
    </row>
    <row r="502" spans="1:9" x14ac:dyDescent="0.3">
      <c r="A502" s="1">
        <v>110</v>
      </c>
      <c r="B502" t="s">
        <v>6</v>
      </c>
      <c r="C502" t="s">
        <v>125</v>
      </c>
      <c r="D502" t="s">
        <v>636</v>
      </c>
      <c r="E502" s="4">
        <v>0.26100000000000001</v>
      </c>
      <c r="F502" t="s">
        <v>1041</v>
      </c>
      <c r="H502">
        <f>IFERROR(_xlfn.XLOOKUP(Table1[[#This Row],[Marker]],Table2[Marker],Table2[ID]),-1)</f>
        <v>-1</v>
      </c>
      <c r="I502">
        <f>_xlfn.XLOOKUP(Table1[[#This Row],[Game]],Table14[Game],Table14[release_year])</f>
        <v>2023</v>
      </c>
    </row>
    <row r="503" spans="1:9" x14ac:dyDescent="0.3">
      <c r="A503" s="1">
        <v>111</v>
      </c>
      <c r="B503" t="s">
        <v>6</v>
      </c>
      <c r="C503" t="s">
        <v>126</v>
      </c>
      <c r="D503" t="s">
        <v>637</v>
      </c>
      <c r="E503" s="4">
        <v>0.25700000000000001</v>
      </c>
      <c r="F503" t="s">
        <v>1041</v>
      </c>
      <c r="H503">
        <f>IFERROR(_xlfn.XLOOKUP(Table1[[#This Row],[Marker]],Table2[Marker],Table2[ID]),-1)</f>
        <v>-1</v>
      </c>
      <c r="I503">
        <f>_xlfn.XLOOKUP(Table1[[#This Row],[Game]],Table14[Game],Table14[release_year])</f>
        <v>2023</v>
      </c>
    </row>
    <row r="504" spans="1:9" x14ac:dyDescent="0.3">
      <c r="A504" s="1">
        <v>112</v>
      </c>
      <c r="B504" t="s">
        <v>6</v>
      </c>
      <c r="C504" t="s">
        <v>127</v>
      </c>
      <c r="D504" t="s">
        <v>638</v>
      </c>
      <c r="E504" s="4">
        <v>0.23600000000000002</v>
      </c>
      <c r="F504" t="s">
        <v>1041</v>
      </c>
      <c r="H504">
        <f>IFERROR(_xlfn.XLOOKUP(Table1[[#This Row],[Marker]],Table2[Marker],Table2[ID]),-1)</f>
        <v>-1</v>
      </c>
      <c r="I504">
        <f>_xlfn.XLOOKUP(Table1[[#This Row],[Game]],Table14[Game],Table14[release_year])</f>
        <v>2023</v>
      </c>
    </row>
    <row r="505" spans="1:9" x14ac:dyDescent="0.3">
      <c r="A505" s="1">
        <v>113</v>
      </c>
      <c r="B505" t="s">
        <v>6</v>
      </c>
      <c r="C505" t="s">
        <v>128</v>
      </c>
      <c r="D505" t="s">
        <v>639</v>
      </c>
      <c r="E505" s="4">
        <v>0.218</v>
      </c>
      <c r="F505" t="s">
        <v>1041</v>
      </c>
      <c r="H505">
        <f>IFERROR(_xlfn.XLOOKUP(Table1[[#This Row],[Marker]],Table2[Marker],Table2[ID]),-1)</f>
        <v>-1</v>
      </c>
      <c r="I505">
        <f>_xlfn.XLOOKUP(Table1[[#This Row],[Game]],Table14[Game],Table14[release_year])</f>
        <v>2023</v>
      </c>
    </row>
    <row r="506" spans="1:9" x14ac:dyDescent="0.3">
      <c r="A506" s="1">
        <v>114</v>
      </c>
      <c r="B506" t="s">
        <v>6</v>
      </c>
      <c r="C506" t="s">
        <v>129</v>
      </c>
      <c r="D506" t="s">
        <v>640</v>
      </c>
      <c r="E506" s="4">
        <v>0.21199999999999999</v>
      </c>
      <c r="F506" t="s">
        <v>1041</v>
      </c>
      <c r="H506">
        <f>IFERROR(_xlfn.XLOOKUP(Table1[[#This Row],[Marker]],Table2[Marker],Table2[ID]),-1)</f>
        <v>-1</v>
      </c>
      <c r="I506">
        <f>_xlfn.XLOOKUP(Table1[[#This Row],[Game]],Table14[Game],Table14[release_year])</f>
        <v>2023</v>
      </c>
    </row>
    <row r="507" spans="1:9" x14ac:dyDescent="0.3">
      <c r="A507" s="1">
        <v>115</v>
      </c>
      <c r="B507" t="s">
        <v>6</v>
      </c>
      <c r="C507" t="s">
        <v>130</v>
      </c>
      <c r="D507" t="s">
        <v>641</v>
      </c>
      <c r="E507" s="4">
        <v>0.21</v>
      </c>
      <c r="F507" t="s">
        <v>1041</v>
      </c>
      <c r="H507">
        <f>IFERROR(_xlfn.XLOOKUP(Table1[[#This Row],[Marker]],Table2[Marker],Table2[ID]),-1)</f>
        <v>-1</v>
      </c>
      <c r="I507">
        <f>_xlfn.XLOOKUP(Table1[[#This Row],[Game]],Table14[Game],Table14[release_year])</f>
        <v>2023</v>
      </c>
    </row>
    <row r="508" spans="1:9" x14ac:dyDescent="0.3">
      <c r="A508" s="1">
        <v>116</v>
      </c>
      <c r="B508" t="s">
        <v>6</v>
      </c>
      <c r="C508" t="s">
        <v>131</v>
      </c>
      <c r="D508" t="s">
        <v>642</v>
      </c>
      <c r="E508" s="4">
        <v>0.185</v>
      </c>
      <c r="F508" t="s">
        <v>1041</v>
      </c>
      <c r="G508" t="s">
        <v>1277</v>
      </c>
      <c r="H508">
        <f>IFERROR(_xlfn.XLOOKUP(Table1[[#This Row],[Marker]],Table2[Marker],Table2[ID]),-1)</f>
        <v>6</v>
      </c>
      <c r="I508">
        <f>_xlfn.XLOOKUP(Table1[[#This Row],[Game]],Table14[Game],Table14[release_year])</f>
        <v>2023</v>
      </c>
    </row>
    <row r="509" spans="1:9" x14ac:dyDescent="0.3">
      <c r="A509" s="1">
        <v>117</v>
      </c>
      <c r="B509" t="s">
        <v>6</v>
      </c>
      <c r="C509" t="s">
        <v>132</v>
      </c>
      <c r="D509" t="s">
        <v>643</v>
      </c>
      <c r="E509" s="4">
        <v>0.184</v>
      </c>
      <c r="F509" t="s">
        <v>1041</v>
      </c>
      <c r="H509">
        <f>IFERROR(_xlfn.XLOOKUP(Table1[[#This Row],[Marker]],Table2[Marker],Table2[ID]),-1)</f>
        <v>-1</v>
      </c>
      <c r="I509">
        <f>_xlfn.XLOOKUP(Table1[[#This Row],[Game]],Table14[Game],Table14[release_year])</f>
        <v>2023</v>
      </c>
    </row>
    <row r="510" spans="1:9" x14ac:dyDescent="0.3">
      <c r="A510" s="1">
        <v>118</v>
      </c>
      <c r="B510" t="s">
        <v>6</v>
      </c>
      <c r="C510" t="s">
        <v>133</v>
      </c>
      <c r="D510" t="s">
        <v>644</v>
      </c>
      <c r="E510" s="4">
        <v>0.17899999999999999</v>
      </c>
      <c r="F510" t="s">
        <v>1041</v>
      </c>
      <c r="H510">
        <f>IFERROR(_xlfn.XLOOKUP(Table1[[#This Row],[Marker]],Table2[Marker],Table2[ID]),-1)</f>
        <v>-1</v>
      </c>
      <c r="I510">
        <f>_xlfn.XLOOKUP(Table1[[#This Row],[Game]],Table14[Game],Table14[release_year])</f>
        <v>2023</v>
      </c>
    </row>
    <row r="511" spans="1:9" x14ac:dyDescent="0.3">
      <c r="A511" s="1">
        <v>119</v>
      </c>
      <c r="B511" t="s">
        <v>6</v>
      </c>
      <c r="C511" t="s">
        <v>134</v>
      </c>
      <c r="D511" t="s">
        <v>645</v>
      </c>
      <c r="E511" s="4">
        <v>0.17</v>
      </c>
      <c r="F511" t="s">
        <v>1041</v>
      </c>
      <c r="H511">
        <f>IFERROR(_xlfn.XLOOKUP(Table1[[#This Row],[Marker]],Table2[Marker],Table2[ID]),-1)</f>
        <v>-1</v>
      </c>
      <c r="I511">
        <f>_xlfn.XLOOKUP(Table1[[#This Row],[Game]],Table14[Game],Table14[release_year])</f>
        <v>2023</v>
      </c>
    </row>
    <row r="512" spans="1:9" x14ac:dyDescent="0.3">
      <c r="A512" s="1">
        <v>120</v>
      </c>
      <c r="B512" t="s">
        <v>6</v>
      </c>
      <c r="C512" t="s">
        <v>135</v>
      </c>
      <c r="D512" t="s">
        <v>646</v>
      </c>
      <c r="E512" s="4">
        <v>0.16699999999999998</v>
      </c>
      <c r="F512" t="s">
        <v>1041</v>
      </c>
      <c r="H512">
        <f>IFERROR(_xlfn.XLOOKUP(Table1[[#This Row],[Marker]],Table2[Marker],Table2[ID]),-1)</f>
        <v>-1</v>
      </c>
      <c r="I512">
        <f>_xlfn.XLOOKUP(Table1[[#This Row],[Game]],Table14[Game],Table14[release_year])</f>
        <v>2023</v>
      </c>
    </row>
    <row r="513" spans="1:9" x14ac:dyDescent="0.3">
      <c r="A513" s="1">
        <v>121</v>
      </c>
      <c r="B513" t="s">
        <v>6</v>
      </c>
      <c r="C513" t="s">
        <v>136</v>
      </c>
      <c r="D513" t="s">
        <v>647</v>
      </c>
      <c r="E513" s="4">
        <v>0.159</v>
      </c>
      <c r="F513" t="s">
        <v>1041</v>
      </c>
      <c r="H513">
        <f>IFERROR(_xlfn.XLOOKUP(Table1[[#This Row],[Marker]],Table2[Marker],Table2[ID]),-1)</f>
        <v>-1</v>
      </c>
      <c r="I513">
        <f>_xlfn.XLOOKUP(Table1[[#This Row],[Game]],Table14[Game],Table14[release_year])</f>
        <v>2023</v>
      </c>
    </row>
    <row r="514" spans="1:9" x14ac:dyDescent="0.3">
      <c r="A514" s="1">
        <v>122</v>
      </c>
      <c r="B514" t="s">
        <v>6</v>
      </c>
      <c r="C514" t="s">
        <v>137</v>
      </c>
      <c r="D514" t="s">
        <v>648</v>
      </c>
      <c r="E514" s="4">
        <v>0.159</v>
      </c>
      <c r="F514" t="s">
        <v>1041</v>
      </c>
      <c r="G514" t="s">
        <v>1278</v>
      </c>
      <c r="H514">
        <f>IFERROR(_xlfn.XLOOKUP(Table1[[#This Row],[Marker]],Table2[Marker],Table2[ID]),-1)</f>
        <v>7</v>
      </c>
      <c r="I514">
        <f>_xlfn.XLOOKUP(Table1[[#This Row],[Game]],Table14[Game],Table14[release_year])</f>
        <v>2023</v>
      </c>
    </row>
    <row r="515" spans="1:9" x14ac:dyDescent="0.3">
      <c r="A515" s="1">
        <v>123</v>
      </c>
      <c r="B515" t="s">
        <v>6</v>
      </c>
      <c r="C515" t="s">
        <v>138</v>
      </c>
      <c r="D515" t="s">
        <v>649</v>
      </c>
      <c r="E515" s="4">
        <v>0.159</v>
      </c>
      <c r="F515" t="s">
        <v>1041</v>
      </c>
      <c r="H515">
        <f>IFERROR(_xlfn.XLOOKUP(Table1[[#This Row],[Marker]],Table2[Marker],Table2[ID]),-1)</f>
        <v>-1</v>
      </c>
      <c r="I515">
        <f>_xlfn.XLOOKUP(Table1[[#This Row],[Game]],Table14[Game],Table14[release_year])</f>
        <v>2023</v>
      </c>
    </row>
    <row r="516" spans="1:9" x14ac:dyDescent="0.3">
      <c r="A516" s="1">
        <v>124</v>
      </c>
      <c r="B516" t="s">
        <v>6</v>
      </c>
      <c r="C516" t="s">
        <v>139</v>
      </c>
      <c r="D516" t="s">
        <v>650</v>
      </c>
      <c r="E516" s="4">
        <v>0.156</v>
      </c>
      <c r="F516" t="s">
        <v>1041</v>
      </c>
      <c r="H516">
        <f>IFERROR(_xlfn.XLOOKUP(Table1[[#This Row],[Marker]],Table2[Marker],Table2[ID]),-1)</f>
        <v>-1</v>
      </c>
      <c r="I516">
        <f>_xlfn.XLOOKUP(Table1[[#This Row],[Game]],Table14[Game],Table14[release_year])</f>
        <v>2023</v>
      </c>
    </row>
    <row r="517" spans="1:9" x14ac:dyDescent="0.3">
      <c r="A517" s="1">
        <v>125</v>
      </c>
      <c r="B517" t="s">
        <v>6</v>
      </c>
      <c r="C517" t="s">
        <v>140</v>
      </c>
      <c r="D517" t="s">
        <v>651</v>
      </c>
      <c r="E517" s="4">
        <v>0.14699999999999999</v>
      </c>
      <c r="F517" t="s">
        <v>1041</v>
      </c>
      <c r="H517">
        <f>IFERROR(_xlfn.XLOOKUP(Table1[[#This Row],[Marker]],Table2[Marker],Table2[ID]),-1)</f>
        <v>-1</v>
      </c>
      <c r="I517">
        <f>_xlfn.XLOOKUP(Table1[[#This Row],[Game]],Table14[Game],Table14[release_year])</f>
        <v>2023</v>
      </c>
    </row>
    <row r="518" spans="1:9" x14ac:dyDescent="0.3">
      <c r="A518" s="1">
        <v>126</v>
      </c>
      <c r="B518" t="s">
        <v>6</v>
      </c>
      <c r="C518" t="s">
        <v>141</v>
      </c>
      <c r="D518" t="s">
        <v>652</v>
      </c>
      <c r="E518" s="4">
        <v>0.14300000000000002</v>
      </c>
      <c r="F518" t="s">
        <v>1041</v>
      </c>
      <c r="H518">
        <f>IFERROR(_xlfn.XLOOKUP(Table1[[#This Row],[Marker]],Table2[Marker],Table2[ID]),-1)</f>
        <v>-1</v>
      </c>
      <c r="I518">
        <f>_xlfn.XLOOKUP(Table1[[#This Row],[Game]],Table14[Game],Table14[release_year])</f>
        <v>2023</v>
      </c>
    </row>
    <row r="519" spans="1:9" x14ac:dyDescent="0.3">
      <c r="A519" s="1">
        <v>127</v>
      </c>
      <c r="B519" t="s">
        <v>6</v>
      </c>
      <c r="C519" t="s">
        <v>142</v>
      </c>
      <c r="D519" t="s">
        <v>653</v>
      </c>
      <c r="E519" s="4">
        <v>0.14099999999999999</v>
      </c>
      <c r="F519" t="s">
        <v>1041</v>
      </c>
      <c r="H519">
        <f>IFERROR(_xlfn.XLOOKUP(Table1[[#This Row],[Marker]],Table2[Marker],Table2[ID]),-1)</f>
        <v>-1</v>
      </c>
      <c r="I519">
        <f>_xlfn.XLOOKUP(Table1[[#This Row],[Game]],Table14[Game],Table14[release_year])</f>
        <v>2023</v>
      </c>
    </row>
    <row r="520" spans="1:9" x14ac:dyDescent="0.3">
      <c r="A520" s="1">
        <v>128</v>
      </c>
      <c r="B520" t="s">
        <v>6</v>
      </c>
      <c r="C520" t="s">
        <v>143</v>
      </c>
      <c r="D520" t="s">
        <v>654</v>
      </c>
      <c r="E520" s="4">
        <v>0.13300000000000001</v>
      </c>
      <c r="F520" t="s">
        <v>1041</v>
      </c>
      <c r="H520">
        <f>IFERROR(_xlfn.XLOOKUP(Table1[[#This Row],[Marker]],Table2[Marker],Table2[ID]),-1)</f>
        <v>-1</v>
      </c>
      <c r="I520">
        <f>_xlfn.XLOOKUP(Table1[[#This Row],[Game]],Table14[Game],Table14[release_year])</f>
        <v>2023</v>
      </c>
    </row>
    <row r="521" spans="1:9" x14ac:dyDescent="0.3">
      <c r="A521" s="1">
        <v>129</v>
      </c>
      <c r="B521" t="s">
        <v>6</v>
      </c>
      <c r="C521" t="s">
        <v>144</v>
      </c>
      <c r="D521" t="s">
        <v>655</v>
      </c>
      <c r="E521" s="4">
        <v>0.11900000000000001</v>
      </c>
      <c r="F521" t="s">
        <v>1041</v>
      </c>
      <c r="H521">
        <f>IFERROR(_xlfn.XLOOKUP(Table1[[#This Row],[Marker]],Table2[Marker],Table2[ID]),-1)</f>
        <v>-1</v>
      </c>
      <c r="I521">
        <f>_xlfn.XLOOKUP(Table1[[#This Row],[Game]],Table14[Game],Table14[release_year])</f>
        <v>2023</v>
      </c>
    </row>
    <row r="522" spans="1:9" x14ac:dyDescent="0.3">
      <c r="A522" s="1">
        <v>130</v>
      </c>
      <c r="B522" t="s">
        <v>6</v>
      </c>
      <c r="C522" t="s">
        <v>145</v>
      </c>
      <c r="D522" t="s">
        <v>656</v>
      </c>
      <c r="E522" s="4">
        <v>9.8000000000000004E-2</v>
      </c>
      <c r="F522" t="s">
        <v>1041</v>
      </c>
      <c r="H522">
        <f>IFERROR(_xlfn.XLOOKUP(Table1[[#This Row],[Marker]],Table2[Marker],Table2[ID]),-1)</f>
        <v>-1</v>
      </c>
      <c r="I522">
        <f>_xlfn.XLOOKUP(Table1[[#This Row],[Game]],Table14[Game],Table14[release_year])</f>
        <v>2023</v>
      </c>
    </row>
    <row r="523" spans="1:9" x14ac:dyDescent="0.3">
      <c r="A523" s="1">
        <v>131</v>
      </c>
      <c r="B523" t="s">
        <v>6</v>
      </c>
      <c r="C523" t="s">
        <v>146</v>
      </c>
      <c r="D523" t="s">
        <v>657</v>
      </c>
      <c r="E523" s="4">
        <v>8.8000000000000009E-2</v>
      </c>
      <c r="F523" t="s">
        <v>1041</v>
      </c>
      <c r="H523">
        <f>IFERROR(_xlfn.XLOOKUP(Table1[[#This Row],[Marker]],Table2[Marker],Table2[ID]),-1)</f>
        <v>-1</v>
      </c>
      <c r="I523">
        <f>_xlfn.XLOOKUP(Table1[[#This Row],[Game]],Table14[Game],Table14[release_year])</f>
        <v>2023</v>
      </c>
    </row>
    <row r="524" spans="1:9" x14ac:dyDescent="0.3">
      <c r="A524" s="1">
        <v>132</v>
      </c>
      <c r="B524" t="s">
        <v>6</v>
      </c>
      <c r="C524" t="s">
        <v>147</v>
      </c>
      <c r="D524" t="s">
        <v>658</v>
      </c>
      <c r="E524" s="4">
        <v>8.5999999999999993E-2</v>
      </c>
      <c r="F524" t="s">
        <v>1041</v>
      </c>
      <c r="H524">
        <f>IFERROR(_xlfn.XLOOKUP(Table1[[#This Row],[Marker]],Table2[Marker],Table2[ID]),-1)</f>
        <v>-1</v>
      </c>
      <c r="I524">
        <f>_xlfn.XLOOKUP(Table1[[#This Row],[Game]],Table14[Game],Table14[release_year])</f>
        <v>2023</v>
      </c>
    </row>
    <row r="525" spans="1:9" x14ac:dyDescent="0.3">
      <c r="A525" s="1">
        <v>133</v>
      </c>
      <c r="B525" t="s">
        <v>6</v>
      </c>
      <c r="C525" t="s">
        <v>148</v>
      </c>
      <c r="D525" t="s">
        <v>659</v>
      </c>
      <c r="E525" s="4">
        <v>5.7999999999999996E-2</v>
      </c>
      <c r="F525" t="s">
        <v>1041</v>
      </c>
      <c r="H525">
        <f>IFERROR(_xlfn.XLOOKUP(Table1[[#This Row],[Marker]],Table2[Marker],Table2[ID]),-1)</f>
        <v>-1</v>
      </c>
      <c r="I525">
        <f>_xlfn.XLOOKUP(Table1[[#This Row],[Game]],Table14[Game],Table14[release_year])</f>
        <v>2023</v>
      </c>
    </row>
    <row r="526" spans="1:9" x14ac:dyDescent="0.3">
      <c r="A526" s="1">
        <v>176</v>
      </c>
      <c r="B526" t="s">
        <v>8</v>
      </c>
      <c r="C526" t="s">
        <v>190</v>
      </c>
      <c r="D526" t="s">
        <v>702</v>
      </c>
      <c r="E526" s="4">
        <v>0.94</v>
      </c>
      <c r="F526" s="2" t="s">
        <v>1046</v>
      </c>
      <c r="G526" t="s">
        <v>1272</v>
      </c>
      <c r="H526">
        <f>IFERROR(_xlfn.XLOOKUP(Table1[[#This Row],[Marker]],Table2[Marker],Table2[ID]),-1)</f>
        <v>1</v>
      </c>
      <c r="I526">
        <f>_xlfn.XLOOKUP(Table1[[#This Row],[Game]],Table14[Game],Table14[release_year])</f>
        <v>2019</v>
      </c>
    </row>
    <row r="527" spans="1:9" x14ac:dyDescent="0.3">
      <c r="A527" s="1">
        <v>177</v>
      </c>
      <c r="B527" t="s">
        <v>8</v>
      </c>
      <c r="C527" t="s">
        <v>191</v>
      </c>
      <c r="D527" t="s">
        <v>703</v>
      </c>
      <c r="E527" s="4">
        <v>0.89700000000000002</v>
      </c>
      <c r="F527" s="2" t="s">
        <v>1047</v>
      </c>
      <c r="H527">
        <f>IFERROR(_xlfn.XLOOKUP(Table1[[#This Row],[Marker]],Table2[Marker],Table2[ID]),-1)</f>
        <v>-1</v>
      </c>
      <c r="I527">
        <f>_xlfn.XLOOKUP(Table1[[#This Row],[Game]],Table14[Game],Table14[release_year])</f>
        <v>2019</v>
      </c>
    </row>
    <row r="528" spans="1:9" x14ac:dyDescent="0.3">
      <c r="A528" s="1">
        <v>178</v>
      </c>
      <c r="B528" t="s">
        <v>8</v>
      </c>
      <c r="C528" t="s">
        <v>192</v>
      </c>
      <c r="D528" t="s">
        <v>704</v>
      </c>
      <c r="E528" s="4">
        <v>0.85499999999999998</v>
      </c>
      <c r="F528" t="s">
        <v>1041</v>
      </c>
      <c r="H528">
        <f>IFERROR(_xlfn.XLOOKUP(Table1[[#This Row],[Marker]],Table2[Marker],Table2[ID]),-1)</f>
        <v>-1</v>
      </c>
      <c r="I528">
        <f>_xlfn.XLOOKUP(Table1[[#This Row],[Game]],Table14[Game],Table14[release_year])</f>
        <v>2019</v>
      </c>
    </row>
    <row r="529" spans="1:9" x14ac:dyDescent="0.3">
      <c r="A529" s="1">
        <v>179</v>
      </c>
      <c r="B529" t="s">
        <v>8</v>
      </c>
      <c r="C529" t="s">
        <v>193</v>
      </c>
      <c r="D529" t="s">
        <v>705</v>
      </c>
      <c r="E529" s="4">
        <v>0.59299999999999997</v>
      </c>
      <c r="F529" t="s">
        <v>1041</v>
      </c>
      <c r="H529">
        <f>IFERROR(_xlfn.XLOOKUP(Table1[[#This Row],[Marker]],Table2[Marker],Table2[ID]),-1)</f>
        <v>-1</v>
      </c>
      <c r="I529">
        <f>_xlfn.XLOOKUP(Table1[[#This Row],[Game]],Table14[Game],Table14[release_year])</f>
        <v>2019</v>
      </c>
    </row>
    <row r="530" spans="1:9" x14ac:dyDescent="0.3">
      <c r="A530" s="1">
        <v>180</v>
      </c>
      <c r="B530" t="s">
        <v>8</v>
      </c>
      <c r="C530" t="s">
        <v>194</v>
      </c>
      <c r="D530" t="s">
        <v>706</v>
      </c>
      <c r="E530" s="4">
        <v>0.57200000000000006</v>
      </c>
      <c r="F530" t="s">
        <v>1041</v>
      </c>
      <c r="G530" t="s">
        <v>1273</v>
      </c>
      <c r="H530">
        <f>IFERROR(_xlfn.XLOOKUP(Table1[[#This Row],[Marker]],Table2[Marker],Table2[ID]),-1)</f>
        <v>2</v>
      </c>
      <c r="I530">
        <f>_xlfn.XLOOKUP(Table1[[#This Row],[Game]],Table14[Game],Table14[release_year])</f>
        <v>2019</v>
      </c>
    </row>
    <row r="531" spans="1:9" x14ac:dyDescent="0.3">
      <c r="A531" s="1">
        <v>181</v>
      </c>
      <c r="B531" t="s">
        <v>8</v>
      </c>
      <c r="C531" t="s">
        <v>195</v>
      </c>
      <c r="D531" t="s">
        <v>707</v>
      </c>
      <c r="E531" s="4">
        <v>0.46700000000000003</v>
      </c>
      <c r="F531" t="s">
        <v>1041</v>
      </c>
      <c r="H531">
        <f>IFERROR(_xlfn.XLOOKUP(Table1[[#This Row],[Marker]],Table2[Marker],Table2[ID]),-1)</f>
        <v>-1</v>
      </c>
      <c r="I531">
        <f>_xlfn.XLOOKUP(Table1[[#This Row],[Game]],Table14[Game],Table14[release_year])</f>
        <v>2019</v>
      </c>
    </row>
    <row r="532" spans="1:9" x14ac:dyDescent="0.3">
      <c r="A532" s="1">
        <v>182</v>
      </c>
      <c r="B532" t="s">
        <v>8</v>
      </c>
      <c r="C532" t="s">
        <v>196</v>
      </c>
      <c r="D532" t="s">
        <v>708</v>
      </c>
      <c r="E532" s="4">
        <v>0.45299999999999996</v>
      </c>
      <c r="F532" t="s">
        <v>1041</v>
      </c>
      <c r="G532" t="s">
        <v>1274</v>
      </c>
      <c r="H532">
        <f>IFERROR(_xlfn.XLOOKUP(Table1[[#This Row],[Marker]],Table2[Marker],Table2[ID]),-1)</f>
        <v>3</v>
      </c>
      <c r="I532">
        <f>_xlfn.XLOOKUP(Table1[[#This Row],[Game]],Table14[Game],Table14[release_year])</f>
        <v>2019</v>
      </c>
    </row>
    <row r="533" spans="1:9" x14ac:dyDescent="0.3">
      <c r="A533" s="1">
        <v>183</v>
      </c>
      <c r="B533" t="s">
        <v>8</v>
      </c>
      <c r="C533" t="s">
        <v>197</v>
      </c>
      <c r="D533" t="s">
        <v>709</v>
      </c>
      <c r="E533" s="4">
        <v>0.41700000000000004</v>
      </c>
      <c r="F533" t="s">
        <v>1041</v>
      </c>
      <c r="H533">
        <f>IFERROR(_xlfn.XLOOKUP(Table1[[#This Row],[Marker]],Table2[Marker],Table2[ID]),-1)</f>
        <v>-1</v>
      </c>
      <c r="I533">
        <f>_xlfn.XLOOKUP(Table1[[#This Row],[Game]],Table14[Game],Table14[release_year])</f>
        <v>2019</v>
      </c>
    </row>
    <row r="534" spans="1:9" x14ac:dyDescent="0.3">
      <c r="A534" s="1">
        <v>184</v>
      </c>
      <c r="B534" t="s">
        <v>8</v>
      </c>
      <c r="C534" t="s">
        <v>198</v>
      </c>
      <c r="D534" t="s">
        <v>710</v>
      </c>
      <c r="E534" s="4">
        <v>0.39799999999999996</v>
      </c>
      <c r="F534" t="s">
        <v>1041</v>
      </c>
      <c r="H534">
        <f>IFERROR(_xlfn.XLOOKUP(Table1[[#This Row],[Marker]],Table2[Marker],Table2[ID]),-1)</f>
        <v>-1</v>
      </c>
      <c r="I534">
        <f>_xlfn.XLOOKUP(Table1[[#This Row],[Game]],Table14[Game],Table14[release_year])</f>
        <v>2019</v>
      </c>
    </row>
    <row r="535" spans="1:9" x14ac:dyDescent="0.3">
      <c r="A535" s="1">
        <v>185</v>
      </c>
      <c r="B535" t="s">
        <v>8</v>
      </c>
      <c r="C535" t="s">
        <v>199</v>
      </c>
      <c r="D535" t="s">
        <v>711</v>
      </c>
      <c r="E535" s="4">
        <v>0.39</v>
      </c>
      <c r="F535" t="s">
        <v>1041</v>
      </c>
      <c r="H535">
        <f>IFERROR(_xlfn.XLOOKUP(Table1[[#This Row],[Marker]],Table2[Marker],Table2[ID]),-1)</f>
        <v>-1</v>
      </c>
      <c r="I535">
        <f>_xlfn.XLOOKUP(Table1[[#This Row],[Game]],Table14[Game],Table14[release_year])</f>
        <v>2019</v>
      </c>
    </row>
    <row r="536" spans="1:9" x14ac:dyDescent="0.3">
      <c r="A536" s="1">
        <v>186</v>
      </c>
      <c r="B536" t="s">
        <v>8</v>
      </c>
      <c r="C536" t="s">
        <v>200</v>
      </c>
      <c r="D536" t="s">
        <v>712</v>
      </c>
      <c r="E536" s="4">
        <v>0.36399999999999999</v>
      </c>
      <c r="F536" t="s">
        <v>1041</v>
      </c>
      <c r="G536" t="s">
        <v>1275</v>
      </c>
      <c r="H536">
        <f>IFERROR(_xlfn.XLOOKUP(Table1[[#This Row],[Marker]],Table2[Marker],Table2[ID]),-1)</f>
        <v>4</v>
      </c>
      <c r="I536">
        <f>_xlfn.XLOOKUP(Table1[[#This Row],[Game]],Table14[Game],Table14[release_year])</f>
        <v>2019</v>
      </c>
    </row>
    <row r="537" spans="1:9" x14ac:dyDescent="0.3">
      <c r="A537" s="1">
        <v>187</v>
      </c>
      <c r="B537" t="s">
        <v>8</v>
      </c>
      <c r="C537" t="s">
        <v>201</v>
      </c>
      <c r="D537" t="s">
        <v>713</v>
      </c>
      <c r="E537" s="4">
        <v>0.35799999999999998</v>
      </c>
      <c r="F537" t="s">
        <v>1041</v>
      </c>
      <c r="H537">
        <f>IFERROR(_xlfn.XLOOKUP(Table1[[#This Row],[Marker]],Table2[Marker],Table2[ID]),-1)</f>
        <v>-1</v>
      </c>
      <c r="I537">
        <f>_xlfn.XLOOKUP(Table1[[#This Row],[Game]],Table14[Game],Table14[release_year])</f>
        <v>2019</v>
      </c>
    </row>
    <row r="538" spans="1:9" x14ac:dyDescent="0.3">
      <c r="A538" s="1">
        <v>188</v>
      </c>
      <c r="B538" t="s">
        <v>8</v>
      </c>
      <c r="C538" t="s">
        <v>202</v>
      </c>
      <c r="D538" t="s">
        <v>714</v>
      </c>
      <c r="E538" s="4">
        <v>0.35799999999999998</v>
      </c>
      <c r="F538" t="s">
        <v>1041</v>
      </c>
      <c r="H538">
        <f>IFERROR(_xlfn.XLOOKUP(Table1[[#This Row],[Marker]],Table2[Marker],Table2[ID]),-1)</f>
        <v>-1</v>
      </c>
      <c r="I538">
        <f>_xlfn.XLOOKUP(Table1[[#This Row],[Game]],Table14[Game],Table14[release_year])</f>
        <v>2019</v>
      </c>
    </row>
    <row r="539" spans="1:9" x14ac:dyDescent="0.3">
      <c r="A539" s="1">
        <v>189</v>
      </c>
      <c r="B539" t="s">
        <v>8</v>
      </c>
      <c r="C539" t="s">
        <v>203</v>
      </c>
      <c r="D539" t="s">
        <v>715</v>
      </c>
      <c r="E539" s="4">
        <v>0.34700000000000003</v>
      </c>
      <c r="F539" t="s">
        <v>1041</v>
      </c>
      <c r="H539">
        <f>IFERROR(_xlfn.XLOOKUP(Table1[[#This Row],[Marker]],Table2[Marker],Table2[ID]),-1)</f>
        <v>-1</v>
      </c>
      <c r="I539">
        <f>_xlfn.XLOOKUP(Table1[[#This Row],[Game]],Table14[Game],Table14[release_year])</f>
        <v>2019</v>
      </c>
    </row>
    <row r="540" spans="1:9" x14ac:dyDescent="0.3">
      <c r="A540" s="1">
        <v>190</v>
      </c>
      <c r="B540" t="s">
        <v>8</v>
      </c>
      <c r="C540" t="s">
        <v>204</v>
      </c>
      <c r="D540" t="s">
        <v>716</v>
      </c>
      <c r="E540" s="4">
        <v>0.33700000000000002</v>
      </c>
      <c r="F540" t="s">
        <v>1041</v>
      </c>
      <c r="H540">
        <f>IFERROR(_xlfn.XLOOKUP(Table1[[#This Row],[Marker]],Table2[Marker],Table2[ID]),-1)</f>
        <v>-1</v>
      </c>
      <c r="I540">
        <f>_xlfn.XLOOKUP(Table1[[#This Row],[Game]],Table14[Game],Table14[release_year])</f>
        <v>2019</v>
      </c>
    </row>
    <row r="541" spans="1:9" x14ac:dyDescent="0.3">
      <c r="A541" s="1">
        <v>191</v>
      </c>
      <c r="B541" t="s">
        <v>8</v>
      </c>
      <c r="C541" t="s">
        <v>205</v>
      </c>
      <c r="D541" t="s">
        <v>717</v>
      </c>
      <c r="E541" s="4">
        <v>0.33500000000000002</v>
      </c>
      <c r="F541" t="s">
        <v>1041</v>
      </c>
      <c r="H541">
        <f>IFERROR(_xlfn.XLOOKUP(Table1[[#This Row],[Marker]],Table2[Marker],Table2[ID]),-1)</f>
        <v>-1</v>
      </c>
      <c r="I541">
        <f>_xlfn.XLOOKUP(Table1[[#This Row],[Game]],Table14[Game],Table14[release_year])</f>
        <v>2019</v>
      </c>
    </row>
    <row r="542" spans="1:9" x14ac:dyDescent="0.3">
      <c r="A542" s="1">
        <v>192</v>
      </c>
      <c r="B542" t="s">
        <v>8</v>
      </c>
      <c r="C542" t="s">
        <v>206</v>
      </c>
      <c r="D542" t="s">
        <v>718</v>
      </c>
      <c r="E542" s="4">
        <v>0.32500000000000001</v>
      </c>
      <c r="F542" t="s">
        <v>1041</v>
      </c>
      <c r="H542">
        <f>IFERROR(_xlfn.XLOOKUP(Table1[[#This Row],[Marker]],Table2[Marker],Table2[ID]),-1)</f>
        <v>-1</v>
      </c>
      <c r="I542">
        <f>_xlfn.XLOOKUP(Table1[[#This Row],[Game]],Table14[Game],Table14[release_year])</f>
        <v>2019</v>
      </c>
    </row>
    <row r="543" spans="1:9" x14ac:dyDescent="0.3">
      <c r="A543" s="1">
        <v>193</v>
      </c>
      <c r="B543" t="s">
        <v>8</v>
      </c>
      <c r="C543" t="s">
        <v>207</v>
      </c>
      <c r="D543" t="s">
        <v>719</v>
      </c>
      <c r="E543" s="4">
        <v>0.314</v>
      </c>
      <c r="F543" t="s">
        <v>1041</v>
      </c>
      <c r="G543" t="s">
        <v>1276</v>
      </c>
      <c r="H543">
        <f>IFERROR(_xlfn.XLOOKUP(Table1[[#This Row],[Marker]],Table2[Marker],Table2[ID]),-1)</f>
        <v>5</v>
      </c>
      <c r="I543">
        <f>_xlfn.XLOOKUP(Table1[[#This Row],[Game]],Table14[Game],Table14[release_year])</f>
        <v>2019</v>
      </c>
    </row>
    <row r="544" spans="1:9" x14ac:dyDescent="0.3">
      <c r="A544" s="1">
        <v>194</v>
      </c>
      <c r="B544" t="s">
        <v>8</v>
      </c>
      <c r="C544" t="s">
        <v>208</v>
      </c>
      <c r="D544" t="s">
        <v>720</v>
      </c>
      <c r="E544" s="4">
        <v>0.313</v>
      </c>
      <c r="F544" t="s">
        <v>1041</v>
      </c>
      <c r="H544">
        <f>IFERROR(_xlfn.XLOOKUP(Table1[[#This Row],[Marker]],Table2[Marker],Table2[ID]),-1)</f>
        <v>-1</v>
      </c>
      <c r="I544">
        <f>_xlfn.XLOOKUP(Table1[[#This Row],[Game]],Table14[Game],Table14[release_year])</f>
        <v>2019</v>
      </c>
    </row>
    <row r="545" spans="1:9" x14ac:dyDescent="0.3">
      <c r="A545" s="1">
        <v>195</v>
      </c>
      <c r="B545" t="s">
        <v>8</v>
      </c>
      <c r="C545" t="s">
        <v>209</v>
      </c>
      <c r="D545" t="s">
        <v>721</v>
      </c>
      <c r="E545" s="4">
        <v>0.27100000000000002</v>
      </c>
      <c r="F545" t="s">
        <v>1041</v>
      </c>
      <c r="H545">
        <f>IFERROR(_xlfn.XLOOKUP(Table1[[#This Row],[Marker]],Table2[Marker],Table2[ID]),-1)</f>
        <v>-1</v>
      </c>
      <c r="I545">
        <f>_xlfn.XLOOKUP(Table1[[#This Row],[Game]],Table14[Game],Table14[release_year])</f>
        <v>2019</v>
      </c>
    </row>
    <row r="546" spans="1:9" x14ac:dyDescent="0.3">
      <c r="A546" s="1">
        <v>196</v>
      </c>
      <c r="B546" t="s">
        <v>8</v>
      </c>
      <c r="C546" t="s">
        <v>210</v>
      </c>
      <c r="D546" t="s">
        <v>722</v>
      </c>
      <c r="E546" s="4">
        <v>0.26400000000000001</v>
      </c>
      <c r="F546" t="s">
        <v>1041</v>
      </c>
      <c r="H546">
        <f>IFERROR(_xlfn.XLOOKUP(Table1[[#This Row],[Marker]],Table2[Marker],Table2[ID]),-1)</f>
        <v>-1</v>
      </c>
      <c r="I546">
        <f>_xlfn.XLOOKUP(Table1[[#This Row],[Game]],Table14[Game],Table14[release_year])</f>
        <v>2019</v>
      </c>
    </row>
    <row r="547" spans="1:9" x14ac:dyDescent="0.3">
      <c r="A547" s="1">
        <v>197</v>
      </c>
      <c r="B547" t="s">
        <v>8</v>
      </c>
      <c r="C547" t="s">
        <v>211</v>
      </c>
      <c r="D547" t="s">
        <v>723</v>
      </c>
      <c r="E547" s="4">
        <v>0.23899999999999999</v>
      </c>
      <c r="F547" t="s">
        <v>1041</v>
      </c>
      <c r="H547">
        <f>IFERROR(_xlfn.XLOOKUP(Table1[[#This Row],[Marker]],Table2[Marker],Table2[ID]),-1)</f>
        <v>-1</v>
      </c>
      <c r="I547">
        <f>_xlfn.XLOOKUP(Table1[[#This Row],[Game]],Table14[Game],Table14[release_year])</f>
        <v>2019</v>
      </c>
    </row>
    <row r="548" spans="1:9" x14ac:dyDescent="0.3">
      <c r="A548" s="1">
        <v>198</v>
      </c>
      <c r="B548" t="s">
        <v>8</v>
      </c>
      <c r="C548" t="s">
        <v>212</v>
      </c>
      <c r="D548" t="s">
        <v>724</v>
      </c>
      <c r="E548" s="4">
        <v>0.22800000000000001</v>
      </c>
      <c r="F548" t="s">
        <v>1041</v>
      </c>
      <c r="H548">
        <f>IFERROR(_xlfn.XLOOKUP(Table1[[#This Row],[Marker]],Table2[Marker],Table2[ID]),-1)</f>
        <v>-1</v>
      </c>
      <c r="I548">
        <f>_xlfn.XLOOKUP(Table1[[#This Row],[Game]],Table14[Game],Table14[release_year])</f>
        <v>2019</v>
      </c>
    </row>
    <row r="549" spans="1:9" x14ac:dyDescent="0.3">
      <c r="A549" s="1">
        <v>199</v>
      </c>
      <c r="B549" t="s">
        <v>8</v>
      </c>
      <c r="C549" t="s">
        <v>213</v>
      </c>
      <c r="D549" t="s">
        <v>725</v>
      </c>
      <c r="E549" s="4">
        <v>0.22</v>
      </c>
      <c r="F549" t="s">
        <v>1041</v>
      </c>
      <c r="H549">
        <f>IFERROR(_xlfn.XLOOKUP(Table1[[#This Row],[Marker]],Table2[Marker],Table2[ID]),-1)</f>
        <v>-1</v>
      </c>
      <c r="I549">
        <f>_xlfn.XLOOKUP(Table1[[#This Row],[Game]],Table14[Game],Table14[release_year])</f>
        <v>2019</v>
      </c>
    </row>
    <row r="550" spans="1:9" x14ac:dyDescent="0.3">
      <c r="A550" s="1">
        <v>200</v>
      </c>
      <c r="B550" t="s">
        <v>8</v>
      </c>
      <c r="C550" t="s">
        <v>214</v>
      </c>
      <c r="D550" t="s">
        <v>726</v>
      </c>
      <c r="E550" s="4">
        <v>0.214</v>
      </c>
      <c r="F550" t="s">
        <v>1041</v>
      </c>
      <c r="H550">
        <f>IFERROR(_xlfn.XLOOKUP(Table1[[#This Row],[Marker]],Table2[Marker],Table2[ID]),-1)</f>
        <v>-1</v>
      </c>
      <c r="I550">
        <f>_xlfn.XLOOKUP(Table1[[#This Row],[Game]],Table14[Game],Table14[release_year])</f>
        <v>2019</v>
      </c>
    </row>
    <row r="551" spans="1:9" x14ac:dyDescent="0.3">
      <c r="A551" s="1">
        <v>201</v>
      </c>
      <c r="B551" t="s">
        <v>8</v>
      </c>
      <c r="C551" t="s">
        <v>215</v>
      </c>
      <c r="D551" t="s">
        <v>727</v>
      </c>
      <c r="E551" s="4">
        <v>0.21299999999999999</v>
      </c>
      <c r="F551" t="s">
        <v>1041</v>
      </c>
      <c r="H551">
        <f>IFERROR(_xlfn.XLOOKUP(Table1[[#This Row],[Marker]],Table2[Marker],Table2[ID]),-1)</f>
        <v>-1</v>
      </c>
      <c r="I551">
        <f>_xlfn.XLOOKUP(Table1[[#This Row],[Game]],Table14[Game],Table14[release_year])</f>
        <v>2019</v>
      </c>
    </row>
    <row r="552" spans="1:9" x14ac:dyDescent="0.3">
      <c r="A552" s="1">
        <v>202</v>
      </c>
      <c r="B552" t="s">
        <v>8</v>
      </c>
      <c r="C552" t="s">
        <v>216</v>
      </c>
      <c r="D552" t="s">
        <v>728</v>
      </c>
      <c r="E552" s="4">
        <v>0.191</v>
      </c>
      <c r="F552" t="s">
        <v>1041</v>
      </c>
      <c r="H552">
        <f>IFERROR(_xlfn.XLOOKUP(Table1[[#This Row],[Marker]],Table2[Marker],Table2[ID]),-1)</f>
        <v>-1</v>
      </c>
      <c r="I552">
        <f>_xlfn.XLOOKUP(Table1[[#This Row],[Game]],Table14[Game],Table14[release_year])</f>
        <v>2019</v>
      </c>
    </row>
    <row r="553" spans="1:9" x14ac:dyDescent="0.3">
      <c r="A553" s="1">
        <v>203</v>
      </c>
      <c r="B553" t="s">
        <v>8</v>
      </c>
      <c r="C553" t="s">
        <v>217</v>
      </c>
      <c r="D553" t="s">
        <v>729</v>
      </c>
      <c r="E553" s="4">
        <v>0.191</v>
      </c>
      <c r="F553" t="s">
        <v>1041</v>
      </c>
      <c r="H553">
        <f>IFERROR(_xlfn.XLOOKUP(Table1[[#This Row],[Marker]],Table2[Marker],Table2[ID]),-1)</f>
        <v>-1</v>
      </c>
      <c r="I553">
        <f>_xlfn.XLOOKUP(Table1[[#This Row],[Game]],Table14[Game],Table14[release_year])</f>
        <v>2019</v>
      </c>
    </row>
    <row r="554" spans="1:9" x14ac:dyDescent="0.3">
      <c r="A554" s="1">
        <v>204</v>
      </c>
      <c r="B554" t="s">
        <v>8</v>
      </c>
      <c r="C554" t="s">
        <v>218</v>
      </c>
      <c r="D554" t="s">
        <v>730</v>
      </c>
      <c r="E554" s="4">
        <v>0.19</v>
      </c>
      <c r="F554" t="s">
        <v>1041</v>
      </c>
      <c r="H554">
        <f>IFERROR(_xlfn.XLOOKUP(Table1[[#This Row],[Marker]],Table2[Marker],Table2[ID]),-1)</f>
        <v>-1</v>
      </c>
      <c r="I554">
        <f>_xlfn.XLOOKUP(Table1[[#This Row],[Game]],Table14[Game],Table14[release_year])</f>
        <v>2019</v>
      </c>
    </row>
    <row r="555" spans="1:9" x14ac:dyDescent="0.3">
      <c r="A555" s="1">
        <v>205</v>
      </c>
      <c r="B555" t="s">
        <v>8</v>
      </c>
      <c r="C555" t="s">
        <v>219</v>
      </c>
      <c r="D555" t="s">
        <v>731</v>
      </c>
      <c r="E555" s="4">
        <v>0.16800000000000001</v>
      </c>
      <c r="F555" t="s">
        <v>1041</v>
      </c>
      <c r="H555">
        <f>IFERROR(_xlfn.XLOOKUP(Table1[[#This Row],[Marker]],Table2[Marker],Table2[ID]),-1)</f>
        <v>-1</v>
      </c>
      <c r="I555">
        <f>_xlfn.XLOOKUP(Table1[[#This Row],[Game]],Table14[Game],Table14[release_year])</f>
        <v>2019</v>
      </c>
    </row>
    <row r="556" spans="1:9" x14ac:dyDescent="0.3">
      <c r="A556" s="1">
        <v>206</v>
      </c>
      <c r="B556" t="s">
        <v>8</v>
      </c>
      <c r="C556" t="s">
        <v>220</v>
      </c>
      <c r="D556" t="s">
        <v>732</v>
      </c>
      <c r="E556" s="4">
        <v>0.14599999999999999</v>
      </c>
      <c r="F556" t="s">
        <v>1041</v>
      </c>
      <c r="H556">
        <f>IFERROR(_xlfn.XLOOKUP(Table1[[#This Row],[Marker]],Table2[Marker],Table2[ID]),-1)</f>
        <v>-1</v>
      </c>
      <c r="I556">
        <f>_xlfn.XLOOKUP(Table1[[#This Row],[Game]],Table14[Game],Table14[release_year])</f>
        <v>2019</v>
      </c>
    </row>
    <row r="557" spans="1:9" x14ac:dyDescent="0.3">
      <c r="A557" s="1">
        <v>207</v>
      </c>
      <c r="B557" t="s">
        <v>8</v>
      </c>
      <c r="C557" t="s">
        <v>221</v>
      </c>
      <c r="D557" t="s">
        <v>733</v>
      </c>
      <c r="E557" s="4">
        <v>0.13800000000000001</v>
      </c>
      <c r="F557" t="s">
        <v>1041</v>
      </c>
      <c r="H557">
        <f>IFERROR(_xlfn.XLOOKUP(Table1[[#This Row],[Marker]],Table2[Marker],Table2[ID]),-1)</f>
        <v>-1</v>
      </c>
      <c r="I557">
        <f>_xlfn.XLOOKUP(Table1[[#This Row],[Game]],Table14[Game],Table14[release_year])</f>
        <v>2019</v>
      </c>
    </row>
    <row r="558" spans="1:9" x14ac:dyDescent="0.3">
      <c r="A558" s="1">
        <v>208</v>
      </c>
      <c r="B558" t="s">
        <v>8</v>
      </c>
      <c r="C558" t="s">
        <v>222</v>
      </c>
      <c r="D558" t="s">
        <v>734</v>
      </c>
      <c r="E558" s="4">
        <v>0.13400000000000001</v>
      </c>
      <c r="F558" t="s">
        <v>1041</v>
      </c>
      <c r="H558">
        <f>IFERROR(_xlfn.XLOOKUP(Table1[[#This Row],[Marker]],Table2[Marker],Table2[ID]),-1)</f>
        <v>-1</v>
      </c>
      <c r="I558">
        <f>_xlfn.XLOOKUP(Table1[[#This Row],[Game]],Table14[Game],Table14[release_year])</f>
        <v>2019</v>
      </c>
    </row>
    <row r="559" spans="1:9" x14ac:dyDescent="0.3">
      <c r="A559" s="1">
        <v>209</v>
      </c>
      <c r="B559" t="s">
        <v>8</v>
      </c>
      <c r="C559" t="s">
        <v>223</v>
      </c>
      <c r="D559" t="s">
        <v>735</v>
      </c>
      <c r="E559" s="4">
        <v>9.9000000000000005E-2</v>
      </c>
      <c r="F559" t="s">
        <v>1041</v>
      </c>
      <c r="H559">
        <f>IFERROR(_xlfn.XLOOKUP(Table1[[#This Row],[Marker]],Table2[Marker],Table2[ID]),-1)</f>
        <v>-1</v>
      </c>
      <c r="I559">
        <f>_xlfn.XLOOKUP(Table1[[#This Row],[Game]],Table14[Game],Table14[release_year])</f>
        <v>2019</v>
      </c>
    </row>
    <row r="560" spans="1:9" x14ac:dyDescent="0.3">
      <c r="A560" s="1">
        <v>362</v>
      </c>
      <c r="B560" t="s">
        <v>12</v>
      </c>
      <c r="C560" t="s">
        <v>366</v>
      </c>
      <c r="D560" t="s">
        <v>881</v>
      </c>
      <c r="E560" s="4">
        <v>0.95299999999999996</v>
      </c>
      <c r="F560" s="2" t="s">
        <v>1054</v>
      </c>
      <c r="G560" t="s">
        <v>1272</v>
      </c>
      <c r="H560">
        <f>IFERROR(_xlfn.XLOOKUP(Table1[[#This Row],[Marker]],Table2[Marker],Table2[ID]),-1)</f>
        <v>1</v>
      </c>
      <c r="I560">
        <f>_xlfn.XLOOKUP(Table1[[#This Row],[Game]],Table14[Game],Table14[release_year])</f>
        <v>2022</v>
      </c>
    </row>
    <row r="561" spans="1:9" x14ac:dyDescent="0.3">
      <c r="A561" s="1">
        <v>363</v>
      </c>
      <c r="B561" t="s">
        <v>12</v>
      </c>
      <c r="C561" t="s">
        <v>367</v>
      </c>
      <c r="D561" t="s">
        <v>882</v>
      </c>
      <c r="E561" s="4">
        <v>0.82499999999999996</v>
      </c>
      <c r="F561" s="2" t="s">
        <v>1055</v>
      </c>
      <c r="H561">
        <f>IFERROR(_xlfn.XLOOKUP(Table1[[#This Row],[Marker]],Table2[Marker],Table2[ID]),-1)</f>
        <v>-1</v>
      </c>
      <c r="I561">
        <f>_xlfn.XLOOKUP(Table1[[#This Row],[Game]],Table14[Game],Table14[release_year])</f>
        <v>2022</v>
      </c>
    </row>
    <row r="562" spans="1:9" x14ac:dyDescent="0.3">
      <c r="A562" s="1">
        <v>364</v>
      </c>
      <c r="B562" t="s">
        <v>12</v>
      </c>
      <c r="C562" t="s">
        <v>368</v>
      </c>
      <c r="D562" t="s">
        <v>883</v>
      </c>
      <c r="E562" s="4">
        <v>0.77400000000000002</v>
      </c>
      <c r="F562" t="s">
        <v>1041</v>
      </c>
      <c r="H562">
        <f>IFERROR(_xlfn.XLOOKUP(Table1[[#This Row],[Marker]],Table2[Marker],Table2[ID]),-1)</f>
        <v>-1</v>
      </c>
      <c r="I562">
        <f>_xlfn.XLOOKUP(Table1[[#This Row],[Game]],Table14[Game],Table14[release_year])</f>
        <v>2022</v>
      </c>
    </row>
    <row r="563" spans="1:9" x14ac:dyDescent="0.3">
      <c r="A563" s="1">
        <v>365</v>
      </c>
      <c r="B563" t="s">
        <v>12</v>
      </c>
      <c r="C563" t="s">
        <v>369</v>
      </c>
      <c r="D563" t="s">
        <v>884</v>
      </c>
      <c r="E563" s="4">
        <v>0.71599999999999997</v>
      </c>
      <c r="F563" t="s">
        <v>1041</v>
      </c>
      <c r="G563" t="s">
        <v>1273</v>
      </c>
      <c r="H563">
        <f>IFERROR(_xlfn.XLOOKUP(Table1[[#This Row],[Marker]],Table2[Marker],Table2[ID]),-1)</f>
        <v>2</v>
      </c>
      <c r="I563">
        <f>_xlfn.XLOOKUP(Table1[[#This Row],[Game]],Table14[Game],Table14[release_year])</f>
        <v>2022</v>
      </c>
    </row>
    <row r="564" spans="1:9" x14ac:dyDescent="0.3">
      <c r="A564" s="1">
        <v>366</v>
      </c>
      <c r="B564" t="s">
        <v>12</v>
      </c>
      <c r="C564" t="s">
        <v>370</v>
      </c>
      <c r="D564" t="s">
        <v>885</v>
      </c>
      <c r="E564" s="4">
        <v>0.48399999999999999</v>
      </c>
      <c r="F564" t="s">
        <v>1041</v>
      </c>
      <c r="H564">
        <f>IFERROR(_xlfn.XLOOKUP(Table1[[#This Row],[Marker]],Table2[Marker],Table2[ID]),-1)</f>
        <v>-1</v>
      </c>
      <c r="I564">
        <f>_xlfn.XLOOKUP(Table1[[#This Row],[Game]],Table14[Game],Table14[release_year])</f>
        <v>2022</v>
      </c>
    </row>
    <row r="565" spans="1:9" x14ac:dyDescent="0.3">
      <c r="A565" s="1">
        <v>367</v>
      </c>
      <c r="B565" t="s">
        <v>12</v>
      </c>
      <c r="C565" t="s">
        <v>371</v>
      </c>
      <c r="D565" t="s">
        <v>886</v>
      </c>
      <c r="E565" s="4">
        <v>0.48200000000000004</v>
      </c>
      <c r="F565" t="s">
        <v>1041</v>
      </c>
      <c r="H565">
        <f>IFERROR(_xlfn.XLOOKUP(Table1[[#This Row],[Marker]],Table2[Marker],Table2[ID]),-1)</f>
        <v>-1</v>
      </c>
      <c r="I565">
        <f>_xlfn.XLOOKUP(Table1[[#This Row],[Game]],Table14[Game],Table14[release_year])</f>
        <v>2022</v>
      </c>
    </row>
    <row r="566" spans="1:9" x14ac:dyDescent="0.3">
      <c r="A566" s="1">
        <v>368</v>
      </c>
      <c r="B566" t="s">
        <v>12</v>
      </c>
      <c r="C566" t="s">
        <v>372</v>
      </c>
      <c r="D566" t="s">
        <v>887</v>
      </c>
      <c r="E566" s="4">
        <v>0.46399999999999997</v>
      </c>
      <c r="F566" t="s">
        <v>1041</v>
      </c>
      <c r="H566">
        <f>IFERROR(_xlfn.XLOOKUP(Table1[[#This Row],[Marker]],Table2[Marker],Table2[ID]),-1)</f>
        <v>-1</v>
      </c>
      <c r="I566">
        <f>_xlfn.XLOOKUP(Table1[[#This Row],[Game]],Table14[Game],Table14[release_year])</f>
        <v>2022</v>
      </c>
    </row>
    <row r="567" spans="1:9" x14ac:dyDescent="0.3">
      <c r="A567" s="1">
        <v>369</v>
      </c>
      <c r="B567" t="s">
        <v>12</v>
      </c>
      <c r="C567" t="s">
        <v>373</v>
      </c>
      <c r="D567" t="s">
        <v>888</v>
      </c>
      <c r="E567" s="4">
        <v>0.45899999999999996</v>
      </c>
      <c r="F567" t="s">
        <v>1041</v>
      </c>
      <c r="G567" t="s">
        <v>1274</v>
      </c>
      <c r="H567">
        <f>IFERROR(_xlfn.XLOOKUP(Table1[[#This Row],[Marker]],Table2[Marker],Table2[ID]),-1)</f>
        <v>3</v>
      </c>
      <c r="I567">
        <f>_xlfn.XLOOKUP(Table1[[#This Row],[Game]],Table14[Game],Table14[release_year])</f>
        <v>2022</v>
      </c>
    </row>
    <row r="568" spans="1:9" x14ac:dyDescent="0.3">
      <c r="A568" s="1">
        <v>370</v>
      </c>
      <c r="B568" t="s">
        <v>12</v>
      </c>
      <c r="C568" t="s">
        <v>374</v>
      </c>
      <c r="D568" t="s">
        <v>889</v>
      </c>
      <c r="E568" s="4">
        <v>0.45600000000000002</v>
      </c>
      <c r="F568" t="s">
        <v>1041</v>
      </c>
      <c r="H568">
        <f>IFERROR(_xlfn.XLOOKUP(Table1[[#This Row],[Marker]],Table2[Marker],Table2[ID]),-1)</f>
        <v>-1</v>
      </c>
      <c r="I568">
        <f>_xlfn.XLOOKUP(Table1[[#This Row],[Game]],Table14[Game],Table14[release_year])</f>
        <v>2022</v>
      </c>
    </row>
    <row r="569" spans="1:9" x14ac:dyDescent="0.3">
      <c r="A569" s="1">
        <v>371</v>
      </c>
      <c r="B569" t="s">
        <v>12</v>
      </c>
      <c r="C569" t="s">
        <v>375</v>
      </c>
      <c r="D569" t="s">
        <v>890</v>
      </c>
      <c r="E569" s="4">
        <v>0.44299999999999995</v>
      </c>
      <c r="F569" t="s">
        <v>1041</v>
      </c>
      <c r="H569">
        <f>IFERROR(_xlfn.XLOOKUP(Table1[[#This Row],[Marker]],Table2[Marker],Table2[ID]),-1)</f>
        <v>-1</v>
      </c>
      <c r="I569">
        <f>_xlfn.XLOOKUP(Table1[[#This Row],[Game]],Table14[Game],Table14[release_year])</f>
        <v>2022</v>
      </c>
    </row>
    <row r="570" spans="1:9" x14ac:dyDescent="0.3">
      <c r="A570" s="1">
        <v>372</v>
      </c>
      <c r="B570" t="s">
        <v>12</v>
      </c>
      <c r="C570" t="s">
        <v>376</v>
      </c>
      <c r="D570" t="s">
        <v>891</v>
      </c>
      <c r="E570" s="4">
        <v>0.40200000000000002</v>
      </c>
      <c r="F570" t="s">
        <v>1041</v>
      </c>
      <c r="H570">
        <f>IFERROR(_xlfn.XLOOKUP(Table1[[#This Row],[Marker]],Table2[Marker],Table2[ID]),-1)</f>
        <v>-1</v>
      </c>
      <c r="I570">
        <f>_xlfn.XLOOKUP(Table1[[#This Row],[Game]],Table14[Game],Table14[release_year])</f>
        <v>2022</v>
      </c>
    </row>
    <row r="571" spans="1:9" x14ac:dyDescent="0.3">
      <c r="A571" s="1">
        <v>373</v>
      </c>
      <c r="B571" t="s">
        <v>12</v>
      </c>
      <c r="C571" t="s">
        <v>377</v>
      </c>
      <c r="D571" t="s">
        <v>892</v>
      </c>
      <c r="E571" s="4">
        <v>0.379</v>
      </c>
      <c r="F571" t="s">
        <v>1041</v>
      </c>
      <c r="H571">
        <f>IFERROR(_xlfn.XLOOKUP(Table1[[#This Row],[Marker]],Table2[Marker],Table2[ID]),-1)</f>
        <v>-1</v>
      </c>
      <c r="I571">
        <f>_xlfn.XLOOKUP(Table1[[#This Row],[Game]],Table14[Game],Table14[release_year])</f>
        <v>2022</v>
      </c>
    </row>
    <row r="572" spans="1:9" x14ac:dyDescent="0.3">
      <c r="A572" s="1">
        <v>374</v>
      </c>
      <c r="B572" t="s">
        <v>12</v>
      </c>
      <c r="C572" t="s">
        <v>378</v>
      </c>
      <c r="D572" t="s">
        <v>893</v>
      </c>
      <c r="E572" s="4">
        <v>0.34299999999999997</v>
      </c>
      <c r="F572" t="s">
        <v>1041</v>
      </c>
      <c r="G572" t="s">
        <v>1275</v>
      </c>
      <c r="H572">
        <f>IFERROR(_xlfn.XLOOKUP(Table1[[#This Row],[Marker]],Table2[Marker],Table2[ID]),-1)</f>
        <v>4</v>
      </c>
      <c r="I572">
        <f>_xlfn.XLOOKUP(Table1[[#This Row],[Game]],Table14[Game],Table14[release_year])</f>
        <v>2022</v>
      </c>
    </row>
    <row r="573" spans="1:9" x14ac:dyDescent="0.3">
      <c r="A573" s="1">
        <v>375</v>
      </c>
      <c r="B573" t="s">
        <v>12</v>
      </c>
      <c r="C573" t="s">
        <v>379</v>
      </c>
      <c r="D573" t="s">
        <v>894</v>
      </c>
      <c r="E573" s="4">
        <v>0.34</v>
      </c>
      <c r="F573" t="s">
        <v>1041</v>
      </c>
      <c r="H573">
        <f>IFERROR(_xlfn.XLOOKUP(Table1[[#This Row],[Marker]],Table2[Marker],Table2[ID]),-1)</f>
        <v>-1</v>
      </c>
      <c r="I573">
        <f>_xlfn.XLOOKUP(Table1[[#This Row],[Game]],Table14[Game],Table14[release_year])</f>
        <v>2022</v>
      </c>
    </row>
    <row r="574" spans="1:9" x14ac:dyDescent="0.3">
      <c r="A574" s="1">
        <v>376</v>
      </c>
      <c r="B574" t="s">
        <v>12</v>
      </c>
      <c r="C574" t="s">
        <v>380</v>
      </c>
      <c r="D574" t="s">
        <v>895</v>
      </c>
      <c r="E574" s="4">
        <v>0.318</v>
      </c>
      <c r="F574" t="s">
        <v>1041</v>
      </c>
      <c r="H574">
        <f>IFERROR(_xlfn.XLOOKUP(Table1[[#This Row],[Marker]],Table2[Marker],Table2[ID]),-1)</f>
        <v>-1</v>
      </c>
      <c r="I574">
        <f>_xlfn.XLOOKUP(Table1[[#This Row],[Game]],Table14[Game],Table14[release_year])</f>
        <v>2022</v>
      </c>
    </row>
    <row r="575" spans="1:9" x14ac:dyDescent="0.3">
      <c r="A575" s="1">
        <v>377</v>
      </c>
      <c r="B575" t="s">
        <v>12</v>
      </c>
      <c r="C575" t="s">
        <v>381</v>
      </c>
      <c r="D575" t="s">
        <v>896</v>
      </c>
      <c r="E575" s="4">
        <v>0.29100000000000004</v>
      </c>
      <c r="F575" t="s">
        <v>1041</v>
      </c>
      <c r="H575">
        <f>IFERROR(_xlfn.XLOOKUP(Table1[[#This Row],[Marker]],Table2[Marker],Table2[ID]),-1)</f>
        <v>-1</v>
      </c>
      <c r="I575">
        <f>_xlfn.XLOOKUP(Table1[[#This Row],[Game]],Table14[Game],Table14[release_year])</f>
        <v>2022</v>
      </c>
    </row>
    <row r="576" spans="1:9" x14ac:dyDescent="0.3">
      <c r="A576" s="1">
        <v>378</v>
      </c>
      <c r="B576" t="s">
        <v>12</v>
      </c>
      <c r="C576" t="s">
        <v>382</v>
      </c>
      <c r="D576" t="s">
        <v>897</v>
      </c>
      <c r="E576" s="4">
        <v>0.28100000000000003</v>
      </c>
      <c r="F576" t="s">
        <v>1041</v>
      </c>
      <c r="H576">
        <f>IFERROR(_xlfn.XLOOKUP(Table1[[#This Row],[Marker]],Table2[Marker],Table2[ID]),-1)</f>
        <v>-1</v>
      </c>
      <c r="I576">
        <f>_xlfn.XLOOKUP(Table1[[#This Row],[Game]],Table14[Game],Table14[release_year])</f>
        <v>2022</v>
      </c>
    </row>
    <row r="577" spans="1:9" x14ac:dyDescent="0.3">
      <c r="A577" s="1">
        <v>379</v>
      </c>
      <c r="B577" t="s">
        <v>12</v>
      </c>
      <c r="C577" t="s">
        <v>383</v>
      </c>
      <c r="D577" t="s">
        <v>898</v>
      </c>
      <c r="E577" s="4">
        <v>0.25600000000000001</v>
      </c>
      <c r="F577" t="s">
        <v>1041</v>
      </c>
      <c r="H577">
        <f>IFERROR(_xlfn.XLOOKUP(Table1[[#This Row],[Marker]],Table2[Marker],Table2[ID]),-1)</f>
        <v>-1</v>
      </c>
      <c r="I577">
        <f>_xlfn.XLOOKUP(Table1[[#This Row],[Game]],Table14[Game],Table14[release_year])</f>
        <v>2022</v>
      </c>
    </row>
    <row r="578" spans="1:9" x14ac:dyDescent="0.3">
      <c r="A578" s="1">
        <v>380</v>
      </c>
      <c r="B578" t="s">
        <v>12</v>
      </c>
      <c r="C578" t="s">
        <v>384</v>
      </c>
      <c r="D578" t="s">
        <v>899</v>
      </c>
      <c r="E578" s="4">
        <v>0.253</v>
      </c>
      <c r="F578" t="s">
        <v>1041</v>
      </c>
      <c r="H578">
        <f>IFERROR(_xlfn.XLOOKUP(Table1[[#This Row],[Marker]],Table2[Marker],Table2[ID]),-1)</f>
        <v>-1</v>
      </c>
      <c r="I578">
        <f>_xlfn.XLOOKUP(Table1[[#This Row],[Game]],Table14[Game],Table14[release_year])</f>
        <v>2022</v>
      </c>
    </row>
    <row r="579" spans="1:9" x14ac:dyDescent="0.3">
      <c r="A579" s="1">
        <v>381</v>
      </c>
      <c r="B579" t="s">
        <v>12</v>
      </c>
      <c r="C579" t="s">
        <v>385</v>
      </c>
      <c r="D579" t="s">
        <v>900</v>
      </c>
      <c r="E579" s="4">
        <v>0.24100000000000002</v>
      </c>
      <c r="F579" t="s">
        <v>1041</v>
      </c>
      <c r="G579" t="s">
        <v>1276</v>
      </c>
      <c r="H579">
        <f>IFERROR(_xlfn.XLOOKUP(Table1[[#This Row],[Marker]],Table2[Marker],Table2[ID]),-1)</f>
        <v>5</v>
      </c>
      <c r="I579">
        <f>_xlfn.XLOOKUP(Table1[[#This Row],[Game]],Table14[Game],Table14[release_year])</f>
        <v>2022</v>
      </c>
    </row>
    <row r="580" spans="1:9" x14ac:dyDescent="0.3">
      <c r="A580" s="1">
        <v>382</v>
      </c>
      <c r="B580" t="s">
        <v>12</v>
      </c>
      <c r="C580" t="s">
        <v>386</v>
      </c>
      <c r="D580" t="s">
        <v>901</v>
      </c>
      <c r="E580" s="4">
        <v>0.23399999999999999</v>
      </c>
      <c r="F580" t="s">
        <v>1041</v>
      </c>
      <c r="H580">
        <f>IFERROR(_xlfn.XLOOKUP(Table1[[#This Row],[Marker]],Table2[Marker],Table2[ID]),-1)</f>
        <v>-1</v>
      </c>
      <c r="I580">
        <f>_xlfn.XLOOKUP(Table1[[#This Row],[Game]],Table14[Game],Table14[release_year])</f>
        <v>2022</v>
      </c>
    </row>
    <row r="581" spans="1:9" x14ac:dyDescent="0.3">
      <c r="A581" s="1">
        <v>383</v>
      </c>
      <c r="B581" t="s">
        <v>12</v>
      </c>
      <c r="C581" t="s">
        <v>387</v>
      </c>
      <c r="D581" t="s">
        <v>902</v>
      </c>
      <c r="E581" s="4">
        <v>0.20100000000000001</v>
      </c>
      <c r="F581" t="s">
        <v>1041</v>
      </c>
      <c r="H581">
        <f>IFERROR(_xlfn.XLOOKUP(Table1[[#This Row],[Marker]],Table2[Marker],Table2[ID]),-1)</f>
        <v>-1</v>
      </c>
      <c r="I581">
        <f>_xlfn.XLOOKUP(Table1[[#This Row],[Game]],Table14[Game],Table14[release_year])</f>
        <v>2022</v>
      </c>
    </row>
    <row r="582" spans="1:9" x14ac:dyDescent="0.3">
      <c r="A582" s="1">
        <v>384</v>
      </c>
      <c r="B582" t="s">
        <v>12</v>
      </c>
      <c r="C582" t="s">
        <v>388</v>
      </c>
      <c r="D582" t="s">
        <v>903</v>
      </c>
      <c r="E582" s="4">
        <v>0.185</v>
      </c>
      <c r="F582" t="s">
        <v>1041</v>
      </c>
      <c r="H582">
        <f>IFERROR(_xlfn.XLOOKUP(Table1[[#This Row],[Marker]],Table2[Marker],Table2[ID]),-1)</f>
        <v>-1</v>
      </c>
      <c r="I582">
        <f>_xlfn.XLOOKUP(Table1[[#This Row],[Game]],Table14[Game],Table14[release_year])</f>
        <v>2022</v>
      </c>
    </row>
    <row r="583" spans="1:9" x14ac:dyDescent="0.3">
      <c r="A583" s="1">
        <v>385</v>
      </c>
      <c r="B583" t="s">
        <v>12</v>
      </c>
      <c r="C583" t="s">
        <v>389</v>
      </c>
      <c r="D583" t="s">
        <v>904</v>
      </c>
      <c r="E583" s="4">
        <v>0.16800000000000001</v>
      </c>
      <c r="F583" t="s">
        <v>1041</v>
      </c>
      <c r="H583">
        <f>IFERROR(_xlfn.XLOOKUP(Table1[[#This Row],[Marker]],Table2[Marker],Table2[ID]),-1)</f>
        <v>-1</v>
      </c>
      <c r="I583">
        <f>_xlfn.XLOOKUP(Table1[[#This Row],[Game]],Table14[Game],Table14[release_year])</f>
        <v>2022</v>
      </c>
    </row>
    <row r="584" spans="1:9" x14ac:dyDescent="0.3">
      <c r="A584" s="1">
        <v>386</v>
      </c>
      <c r="B584" t="s">
        <v>12</v>
      </c>
      <c r="C584" t="s">
        <v>390</v>
      </c>
      <c r="D584" t="s">
        <v>905</v>
      </c>
      <c r="E584" s="4">
        <v>0.155</v>
      </c>
      <c r="F584" t="s">
        <v>1041</v>
      </c>
      <c r="H584">
        <f>IFERROR(_xlfn.XLOOKUP(Table1[[#This Row],[Marker]],Table2[Marker],Table2[ID]),-1)</f>
        <v>-1</v>
      </c>
      <c r="I584">
        <f>_xlfn.XLOOKUP(Table1[[#This Row],[Game]],Table14[Game],Table14[release_year])</f>
        <v>2022</v>
      </c>
    </row>
    <row r="585" spans="1:9" x14ac:dyDescent="0.3">
      <c r="A585" s="1">
        <v>387</v>
      </c>
      <c r="B585" t="s">
        <v>12</v>
      </c>
      <c r="C585" t="s">
        <v>391</v>
      </c>
      <c r="D585" t="s">
        <v>906</v>
      </c>
      <c r="E585" s="4">
        <v>0.14000000000000001</v>
      </c>
      <c r="F585" t="s">
        <v>1041</v>
      </c>
      <c r="H585">
        <f>IFERROR(_xlfn.XLOOKUP(Table1[[#This Row],[Marker]],Table2[Marker],Table2[ID]),-1)</f>
        <v>-1</v>
      </c>
      <c r="I585">
        <f>_xlfn.XLOOKUP(Table1[[#This Row],[Game]],Table14[Game],Table14[release_year])</f>
        <v>2022</v>
      </c>
    </row>
    <row r="586" spans="1:9" x14ac:dyDescent="0.3">
      <c r="A586" s="1">
        <v>388</v>
      </c>
      <c r="B586" t="s">
        <v>12</v>
      </c>
      <c r="C586" t="s">
        <v>392</v>
      </c>
      <c r="D586" t="s">
        <v>907</v>
      </c>
      <c r="E586" s="4">
        <v>0.13100000000000001</v>
      </c>
      <c r="F586" t="s">
        <v>1041</v>
      </c>
      <c r="H586">
        <f>IFERROR(_xlfn.XLOOKUP(Table1[[#This Row],[Marker]],Table2[Marker],Table2[ID]),-1)</f>
        <v>-1</v>
      </c>
      <c r="I586">
        <f>_xlfn.XLOOKUP(Table1[[#This Row],[Game]],Table14[Game],Table14[release_year])</f>
        <v>2022</v>
      </c>
    </row>
    <row r="587" spans="1:9" x14ac:dyDescent="0.3">
      <c r="A587" s="1">
        <v>389</v>
      </c>
      <c r="B587" t="s">
        <v>12</v>
      </c>
      <c r="C587" t="s">
        <v>393</v>
      </c>
      <c r="D587" t="s">
        <v>908</v>
      </c>
      <c r="E587" s="4">
        <v>0.13100000000000001</v>
      </c>
      <c r="F587" t="s">
        <v>1041</v>
      </c>
      <c r="H587">
        <f>IFERROR(_xlfn.XLOOKUP(Table1[[#This Row],[Marker]],Table2[Marker],Table2[ID]),-1)</f>
        <v>-1</v>
      </c>
      <c r="I587">
        <f>_xlfn.XLOOKUP(Table1[[#This Row],[Game]],Table14[Game],Table14[release_year])</f>
        <v>2022</v>
      </c>
    </row>
    <row r="588" spans="1:9" x14ac:dyDescent="0.3">
      <c r="A588" s="1">
        <v>390</v>
      </c>
      <c r="B588" t="s">
        <v>12</v>
      </c>
      <c r="C588" t="s">
        <v>394</v>
      </c>
      <c r="D588" t="s">
        <v>909</v>
      </c>
      <c r="E588" s="4">
        <v>0.12300000000000001</v>
      </c>
      <c r="F588" t="s">
        <v>1041</v>
      </c>
      <c r="H588">
        <f>IFERROR(_xlfn.XLOOKUP(Table1[[#This Row],[Marker]],Table2[Marker],Table2[ID]),-1)</f>
        <v>-1</v>
      </c>
      <c r="I588">
        <f>_xlfn.XLOOKUP(Table1[[#This Row],[Game]],Table14[Game],Table14[release_year])</f>
        <v>2022</v>
      </c>
    </row>
    <row r="589" spans="1:9" x14ac:dyDescent="0.3">
      <c r="A589" s="1">
        <v>391</v>
      </c>
      <c r="B589" t="s">
        <v>12</v>
      </c>
      <c r="C589" t="s">
        <v>395</v>
      </c>
      <c r="D589" t="s">
        <v>910</v>
      </c>
      <c r="E589" s="4">
        <v>0.122</v>
      </c>
      <c r="F589" t="s">
        <v>1041</v>
      </c>
      <c r="H589">
        <f>IFERROR(_xlfn.XLOOKUP(Table1[[#This Row],[Marker]],Table2[Marker],Table2[ID]),-1)</f>
        <v>-1</v>
      </c>
      <c r="I589">
        <f>_xlfn.XLOOKUP(Table1[[#This Row],[Game]],Table14[Game],Table14[release_year])</f>
        <v>2022</v>
      </c>
    </row>
    <row r="590" spans="1:9" x14ac:dyDescent="0.3">
      <c r="A590" s="1">
        <v>392</v>
      </c>
      <c r="B590" t="s">
        <v>12</v>
      </c>
      <c r="C590" t="s">
        <v>396</v>
      </c>
      <c r="D590" t="s">
        <v>911</v>
      </c>
      <c r="E590" s="4">
        <v>0.113</v>
      </c>
      <c r="F590" t="s">
        <v>1041</v>
      </c>
      <c r="H590">
        <f>IFERROR(_xlfn.XLOOKUP(Table1[[#This Row],[Marker]],Table2[Marker],Table2[ID]),-1)</f>
        <v>-1</v>
      </c>
      <c r="I590">
        <f>_xlfn.XLOOKUP(Table1[[#This Row],[Game]],Table14[Game],Table14[release_year])</f>
        <v>2022</v>
      </c>
    </row>
    <row r="591" spans="1:9" x14ac:dyDescent="0.3">
      <c r="A591" s="1">
        <v>393</v>
      </c>
      <c r="B591" t="s">
        <v>12</v>
      </c>
      <c r="C591" t="s">
        <v>397</v>
      </c>
      <c r="D591" t="s">
        <v>912</v>
      </c>
      <c r="E591" s="4">
        <v>0.10300000000000001</v>
      </c>
      <c r="F591" t="s">
        <v>1041</v>
      </c>
      <c r="H591">
        <f>IFERROR(_xlfn.XLOOKUP(Table1[[#This Row],[Marker]],Table2[Marker],Table2[ID]),-1)</f>
        <v>-1</v>
      </c>
      <c r="I591">
        <f>_xlfn.XLOOKUP(Table1[[#This Row],[Game]],Table14[Game],Table14[release_year])</f>
        <v>2022</v>
      </c>
    </row>
    <row r="592" spans="1:9" x14ac:dyDescent="0.3">
      <c r="A592" s="1">
        <v>394</v>
      </c>
      <c r="B592" t="s">
        <v>12</v>
      </c>
      <c r="C592" t="s">
        <v>398</v>
      </c>
      <c r="D592" t="s">
        <v>913</v>
      </c>
      <c r="E592" s="4">
        <v>0.10099999999999999</v>
      </c>
      <c r="F592" t="s">
        <v>1041</v>
      </c>
      <c r="H592">
        <f>IFERROR(_xlfn.XLOOKUP(Table1[[#This Row],[Marker]],Table2[Marker],Table2[ID]),-1)</f>
        <v>-1</v>
      </c>
      <c r="I592">
        <f>_xlfn.XLOOKUP(Table1[[#This Row],[Game]],Table14[Game],Table14[release_year])</f>
        <v>2022</v>
      </c>
    </row>
    <row r="593" spans="1:9" x14ac:dyDescent="0.3">
      <c r="A593" s="1">
        <v>395</v>
      </c>
      <c r="B593" t="s">
        <v>12</v>
      </c>
      <c r="C593" t="s">
        <v>399</v>
      </c>
      <c r="D593" t="s">
        <v>914</v>
      </c>
      <c r="E593" s="4">
        <v>8.900000000000001E-2</v>
      </c>
      <c r="F593" t="s">
        <v>1041</v>
      </c>
      <c r="H593">
        <f>IFERROR(_xlfn.XLOOKUP(Table1[[#This Row],[Marker]],Table2[Marker],Table2[ID]),-1)</f>
        <v>-1</v>
      </c>
      <c r="I593">
        <f>_xlfn.XLOOKUP(Table1[[#This Row],[Game]],Table14[Game],Table14[release_year])</f>
        <v>2022</v>
      </c>
    </row>
    <row r="594" spans="1:9" x14ac:dyDescent="0.3">
      <c r="A594" s="1">
        <v>396</v>
      </c>
      <c r="B594" t="s">
        <v>12</v>
      </c>
      <c r="C594" t="s">
        <v>400</v>
      </c>
      <c r="D594" t="s">
        <v>915</v>
      </c>
      <c r="E594" s="4">
        <v>8.6999999999999994E-2</v>
      </c>
      <c r="F594" t="s">
        <v>1041</v>
      </c>
      <c r="H594">
        <f>IFERROR(_xlfn.XLOOKUP(Table1[[#This Row],[Marker]],Table2[Marker],Table2[ID]),-1)</f>
        <v>-1</v>
      </c>
      <c r="I594">
        <f>_xlfn.XLOOKUP(Table1[[#This Row],[Game]],Table14[Game],Table14[release_year])</f>
        <v>2022</v>
      </c>
    </row>
    <row r="595" spans="1:9" x14ac:dyDescent="0.3">
      <c r="A595" s="1">
        <v>397</v>
      </c>
      <c r="B595" t="s">
        <v>12</v>
      </c>
      <c r="C595" t="s">
        <v>401</v>
      </c>
      <c r="D595" t="s">
        <v>916</v>
      </c>
      <c r="E595" s="4">
        <v>0.08</v>
      </c>
      <c r="F595" t="s">
        <v>1041</v>
      </c>
      <c r="H595">
        <f>IFERROR(_xlfn.XLOOKUP(Table1[[#This Row],[Marker]],Table2[Marker],Table2[ID]),-1)</f>
        <v>-1</v>
      </c>
      <c r="I595">
        <f>_xlfn.XLOOKUP(Table1[[#This Row],[Game]],Table14[Game],Table14[release_year])</f>
        <v>2022</v>
      </c>
    </row>
    <row r="596" spans="1:9" x14ac:dyDescent="0.3">
      <c r="A596" s="1">
        <v>398</v>
      </c>
      <c r="B596" t="s">
        <v>12</v>
      </c>
      <c r="C596" t="s">
        <v>402</v>
      </c>
      <c r="D596" t="s">
        <v>917</v>
      </c>
      <c r="E596" s="4">
        <v>7.6999999999999999E-2</v>
      </c>
      <c r="F596" t="s">
        <v>1041</v>
      </c>
      <c r="H596">
        <f>IFERROR(_xlfn.XLOOKUP(Table1[[#This Row],[Marker]],Table2[Marker],Table2[ID]),-1)</f>
        <v>-1</v>
      </c>
      <c r="I596">
        <f>_xlfn.XLOOKUP(Table1[[#This Row],[Game]],Table14[Game],Table14[release_year])</f>
        <v>2022</v>
      </c>
    </row>
    <row r="597" spans="1:9" x14ac:dyDescent="0.3">
      <c r="A597" s="1">
        <v>399</v>
      </c>
      <c r="B597" t="s">
        <v>12</v>
      </c>
      <c r="C597" t="s">
        <v>403</v>
      </c>
      <c r="D597" t="s">
        <v>918</v>
      </c>
      <c r="E597" s="4">
        <v>7.2999999999999995E-2</v>
      </c>
      <c r="F597" t="s">
        <v>1041</v>
      </c>
      <c r="H597">
        <f>IFERROR(_xlfn.XLOOKUP(Table1[[#This Row],[Marker]],Table2[Marker],Table2[ID]),-1)</f>
        <v>-1</v>
      </c>
      <c r="I597">
        <f>_xlfn.XLOOKUP(Table1[[#This Row],[Game]],Table14[Game],Table14[release_year])</f>
        <v>2022</v>
      </c>
    </row>
    <row r="598" spans="1:9" x14ac:dyDescent="0.3">
      <c r="A598" s="1">
        <v>400</v>
      </c>
      <c r="B598" t="s">
        <v>12</v>
      </c>
      <c r="C598" t="s">
        <v>404</v>
      </c>
      <c r="D598" t="s">
        <v>919</v>
      </c>
      <c r="E598" s="4">
        <v>7.2000000000000008E-2</v>
      </c>
      <c r="F598" t="s">
        <v>1041</v>
      </c>
      <c r="H598">
        <f>IFERROR(_xlfn.XLOOKUP(Table1[[#This Row],[Marker]],Table2[Marker],Table2[ID]),-1)</f>
        <v>-1</v>
      </c>
      <c r="I598">
        <f>_xlfn.XLOOKUP(Table1[[#This Row],[Game]],Table14[Game],Table14[release_year])</f>
        <v>2022</v>
      </c>
    </row>
    <row r="599" spans="1:9" x14ac:dyDescent="0.3">
      <c r="A599" s="1">
        <v>401</v>
      </c>
      <c r="B599" t="s">
        <v>12</v>
      </c>
      <c r="C599" t="s">
        <v>405</v>
      </c>
      <c r="D599" t="s">
        <v>920</v>
      </c>
      <c r="E599" s="4">
        <v>6.8000000000000005E-2</v>
      </c>
      <c r="F599" t="s">
        <v>1041</v>
      </c>
      <c r="H599">
        <f>IFERROR(_xlfn.XLOOKUP(Table1[[#This Row],[Marker]],Table2[Marker],Table2[ID]),-1)</f>
        <v>-1</v>
      </c>
      <c r="I599">
        <f>_xlfn.XLOOKUP(Table1[[#This Row],[Game]],Table14[Game],Table14[release_year])</f>
        <v>2022</v>
      </c>
    </row>
    <row r="600" spans="1:9" x14ac:dyDescent="0.3">
      <c r="A600" s="1">
        <v>402</v>
      </c>
      <c r="B600" t="s">
        <v>12</v>
      </c>
      <c r="C600" t="s">
        <v>406</v>
      </c>
      <c r="D600" t="s">
        <v>921</v>
      </c>
      <c r="E600" s="4">
        <v>6.3E-2</v>
      </c>
      <c r="F600" t="s">
        <v>1041</v>
      </c>
      <c r="H600">
        <f>IFERROR(_xlfn.XLOOKUP(Table1[[#This Row],[Marker]],Table2[Marker],Table2[ID]),-1)</f>
        <v>-1</v>
      </c>
      <c r="I600">
        <f>_xlfn.XLOOKUP(Table1[[#This Row],[Game]],Table14[Game],Table14[release_year])</f>
        <v>2022</v>
      </c>
    </row>
    <row r="601" spans="1:9" x14ac:dyDescent="0.3">
      <c r="A601" s="1">
        <v>403</v>
      </c>
      <c r="B601" t="s">
        <v>12</v>
      </c>
      <c r="C601" t="s">
        <v>407</v>
      </c>
      <c r="D601" t="s">
        <v>922</v>
      </c>
      <c r="E601" s="4">
        <v>6.0999999999999999E-2</v>
      </c>
      <c r="F601" t="s">
        <v>1041</v>
      </c>
      <c r="H601">
        <f>IFERROR(_xlfn.XLOOKUP(Table1[[#This Row],[Marker]],Table2[Marker],Table2[ID]),-1)</f>
        <v>-1</v>
      </c>
      <c r="I601">
        <f>_xlfn.XLOOKUP(Table1[[#This Row],[Game]],Table14[Game],Table14[release_year])</f>
        <v>2022</v>
      </c>
    </row>
    <row r="602" spans="1:9" x14ac:dyDescent="0.3">
      <c r="A602" s="1">
        <v>404</v>
      </c>
      <c r="B602" t="s">
        <v>12</v>
      </c>
      <c r="C602" t="s">
        <v>408</v>
      </c>
      <c r="D602" t="s">
        <v>923</v>
      </c>
      <c r="E602" s="4">
        <v>5.9000000000000004E-2</v>
      </c>
      <c r="F602" t="s">
        <v>1041</v>
      </c>
      <c r="H602">
        <f>IFERROR(_xlfn.XLOOKUP(Table1[[#This Row],[Marker]],Table2[Marker],Table2[ID]),-1)</f>
        <v>-1</v>
      </c>
      <c r="I602">
        <f>_xlfn.XLOOKUP(Table1[[#This Row],[Game]],Table14[Game],Table14[release_year])</f>
        <v>2022</v>
      </c>
    </row>
    <row r="603" spans="1:9" x14ac:dyDescent="0.3">
      <c r="A603" s="1">
        <v>405</v>
      </c>
      <c r="B603" t="s">
        <v>12</v>
      </c>
      <c r="C603" t="s">
        <v>409</v>
      </c>
      <c r="D603" t="s">
        <v>924</v>
      </c>
      <c r="E603" s="4">
        <v>4.9000000000000002E-2</v>
      </c>
      <c r="F603" t="s">
        <v>1041</v>
      </c>
      <c r="H603">
        <f>IFERROR(_xlfn.XLOOKUP(Table1[[#This Row],[Marker]],Table2[Marker],Table2[ID]),-1)</f>
        <v>-1</v>
      </c>
      <c r="I603">
        <f>_xlfn.XLOOKUP(Table1[[#This Row],[Game]],Table14[Game],Table14[release_year])</f>
        <v>2022</v>
      </c>
    </row>
    <row r="604" spans="1:9" x14ac:dyDescent="0.3">
      <c r="A604" s="1">
        <v>406</v>
      </c>
      <c r="B604" t="s">
        <v>12</v>
      </c>
      <c r="C604" t="s">
        <v>410</v>
      </c>
      <c r="D604" t="s">
        <v>925</v>
      </c>
      <c r="E604" s="4">
        <v>4.8000000000000001E-2</v>
      </c>
      <c r="F604" t="s">
        <v>1041</v>
      </c>
      <c r="H604">
        <f>IFERROR(_xlfn.XLOOKUP(Table1[[#This Row],[Marker]],Table2[Marker],Table2[ID]),-1)</f>
        <v>-1</v>
      </c>
      <c r="I604">
        <f>_xlfn.XLOOKUP(Table1[[#This Row],[Game]],Table14[Game],Table14[release_year])</f>
        <v>2022</v>
      </c>
    </row>
    <row r="605" spans="1:9" x14ac:dyDescent="0.3">
      <c r="A605" s="1">
        <v>407</v>
      </c>
      <c r="B605" t="s">
        <v>12</v>
      </c>
      <c r="C605" t="s">
        <v>411</v>
      </c>
      <c r="D605" t="s">
        <v>926</v>
      </c>
      <c r="E605" s="4">
        <v>4.7E-2</v>
      </c>
      <c r="F605" t="s">
        <v>1041</v>
      </c>
      <c r="H605">
        <f>IFERROR(_xlfn.XLOOKUP(Table1[[#This Row],[Marker]],Table2[Marker],Table2[ID]),-1)</f>
        <v>-1</v>
      </c>
      <c r="I605">
        <f>_xlfn.XLOOKUP(Table1[[#This Row],[Game]],Table14[Game],Table14[release_year])</f>
        <v>2022</v>
      </c>
    </row>
    <row r="606" spans="1:9" x14ac:dyDescent="0.3">
      <c r="A606" s="1">
        <v>408</v>
      </c>
      <c r="B606" t="s">
        <v>12</v>
      </c>
      <c r="C606" t="s">
        <v>412</v>
      </c>
      <c r="D606" t="s">
        <v>927</v>
      </c>
      <c r="E606" s="4">
        <v>4.4999999999999998E-2</v>
      </c>
      <c r="F606" t="s">
        <v>1041</v>
      </c>
      <c r="H606">
        <f>IFERROR(_xlfn.XLOOKUP(Table1[[#This Row],[Marker]],Table2[Marker],Table2[ID]),-1)</f>
        <v>-1</v>
      </c>
      <c r="I606">
        <f>_xlfn.XLOOKUP(Table1[[#This Row],[Game]],Table14[Game],Table14[release_year])</f>
        <v>2022</v>
      </c>
    </row>
    <row r="607" spans="1:9" x14ac:dyDescent="0.3">
      <c r="A607" s="1">
        <v>409</v>
      </c>
      <c r="B607" t="s">
        <v>12</v>
      </c>
      <c r="C607" t="s">
        <v>413</v>
      </c>
      <c r="D607" t="s">
        <v>928</v>
      </c>
      <c r="E607" s="4">
        <v>3.9E-2</v>
      </c>
      <c r="F607" t="s">
        <v>1041</v>
      </c>
      <c r="H607">
        <f>IFERROR(_xlfn.XLOOKUP(Table1[[#This Row],[Marker]],Table2[Marker],Table2[ID]),-1)</f>
        <v>-1</v>
      </c>
      <c r="I607">
        <f>_xlfn.XLOOKUP(Table1[[#This Row],[Game]],Table14[Game],Table14[release_year])</f>
        <v>2022</v>
      </c>
    </row>
    <row r="608" spans="1:9" x14ac:dyDescent="0.3">
      <c r="A608" s="1">
        <v>410</v>
      </c>
      <c r="B608" t="s">
        <v>12</v>
      </c>
      <c r="C608" t="s">
        <v>414</v>
      </c>
      <c r="D608" t="s">
        <v>929</v>
      </c>
      <c r="E608" s="4">
        <v>3.3000000000000002E-2</v>
      </c>
      <c r="F608" t="s">
        <v>1041</v>
      </c>
      <c r="H608">
        <f>IFERROR(_xlfn.XLOOKUP(Table1[[#This Row],[Marker]],Table2[Marker],Table2[ID]),-1)</f>
        <v>-1</v>
      </c>
      <c r="I608">
        <f>_xlfn.XLOOKUP(Table1[[#This Row],[Game]],Table14[Game],Table14[release_year])</f>
        <v>2022</v>
      </c>
    </row>
    <row r="609" spans="1:9" x14ac:dyDescent="0.3">
      <c r="A609" s="1">
        <v>411</v>
      </c>
      <c r="B609" t="s">
        <v>12</v>
      </c>
      <c r="C609" t="s">
        <v>415</v>
      </c>
      <c r="D609" t="s">
        <v>930</v>
      </c>
      <c r="E609" s="4">
        <v>2.5000000000000001E-2</v>
      </c>
      <c r="F609" t="s">
        <v>1041</v>
      </c>
      <c r="H609">
        <f>IFERROR(_xlfn.XLOOKUP(Table1[[#This Row],[Marker]],Table2[Marker],Table2[ID]),-1)</f>
        <v>-1</v>
      </c>
      <c r="I609">
        <f>_xlfn.XLOOKUP(Table1[[#This Row],[Game]],Table14[Game],Table14[release_year])</f>
        <v>2022</v>
      </c>
    </row>
    <row r="610" spans="1:9" x14ac:dyDescent="0.3">
      <c r="A610" s="1">
        <v>412</v>
      </c>
      <c r="B610" t="s">
        <v>12</v>
      </c>
      <c r="C610" t="s">
        <v>416</v>
      </c>
      <c r="D610" t="s">
        <v>931</v>
      </c>
      <c r="E610" s="4">
        <v>2.5000000000000001E-2</v>
      </c>
      <c r="F610" t="s">
        <v>1041</v>
      </c>
      <c r="H610">
        <f>IFERROR(_xlfn.XLOOKUP(Table1[[#This Row],[Marker]],Table2[Marker],Table2[ID]),-1)</f>
        <v>-1</v>
      </c>
      <c r="I610">
        <f>_xlfn.XLOOKUP(Table1[[#This Row],[Game]],Table14[Game],Table14[release_year])</f>
        <v>2022</v>
      </c>
    </row>
    <row r="611" spans="1:9" x14ac:dyDescent="0.3">
      <c r="A611" s="1">
        <v>413</v>
      </c>
      <c r="B611" t="s">
        <v>12</v>
      </c>
      <c r="C611" t="s">
        <v>417</v>
      </c>
      <c r="D611" t="s">
        <v>932</v>
      </c>
      <c r="E611" s="4">
        <v>2.3E-2</v>
      </c>
      <c r="F611" t="s">
        <v>1041</v>
      </c>
      <c r="H611">
        <f>IFERROR(_xlfn.XLOOKUP(Table1[[#This Row],[Marker]],Table2[Marker],Table2[ID]),-1)</f>
        <v>-1</v>
      </c>
      <c r="I611">
        <f>_xlfn.XLOOKUP(Table1[[#This Row],[Game]],Table14[Game],Table14[release_year])</f>
        <v>2022</v>
      </c>
    </row>
    <row r="612" spans="1:9" x14ac:dyDescent="0.3">
      <c r="A612" s="1">
        <v>414</v>
      </c>
      <c r="B612" t="s">
        <v>12</v>
      </c>
      <c r="C612" t="s">
        <v>418</v>
      </c>
      <c r="D612" t="s">
        <v>933</v>
      </c>
      <c r="E612" s="4">
        <v>2.2000000000000002E-2</v>
      </c>
      <c r="F612" t="s">
        <v>1041</v>
      </c>
      <c r="H612">
        <f>IFERROR(_xlfn.XLOOKUP(Table1[[#This Row],[Marker]],Table2[Marker],Table2[ID]),-1)</f>
        <v>-1</v>
      </c>
      <c r="I612">
        <f>_xlfn.XLOOKUP(Table1[[#This Row],[Game]],Table14[Game],Table14[release_year])</f>
        <v>2022</v>
      </c>
    </row>
    <row r="613" spans="1:9" x14ac:dyDescent="0.3">
      <c r="A613" s="1">
        <v>415</v>
      </c>
      <c r="B613" t="s">
        <v>12</v>
      </c>
      <c r="C613" t="s">
        <v>419</v>
      </c>
      <c r="D613" t="s">
        <v>934</v>
      </c>
      <c r="E613" s="4">
        <v>2.1000000000000001E-2</v>
      </c>
      <c r="F613" t="s">
        <v>1041</v>
      </c>
      <c r="H613">
        <f>IFERROR(_xlfn.XLOOKUP(Table1[[#This Row],[Marker]],Table2[Marker],Table2[ID]),-1)</f>
        <v>-1</v>
      </c>
      <c r="I613">
        <f>_xlfn.XLOOKUP(Table1[[#This Row],[Game]],Table14[Game],Table14[release_year])</f>
        <v>2022</v>
      </c>
    </row>
    <row r="614" spans="1:9" x14ac:dyDescent="0.3">
      <c r="A614" s="1">
        <v>416</v>
      </c>
      <c r="B614" t="s">
        <v>12</v>
      </c>
      <c r="C614" t="s">
        <v>420</v>
      </c>
      <c r="D614" t="s">
        <v>935</v>
      </c>
      <c r="E614" s="4">
        <v>1.9E-2</v>
      </c>
      <c r="F614" t="s">
        <v>1041</v>
      </c>
      <c r="H614">
        <f>IFERROR(_xlfn.XLOOKUP(Table1[[#This Row],[Marker]],Table2[Marker],Table2[ID]),-1)</f>
        <v>-1</v>
      </c>
      <c r="I614">
        <f>_xlfn.XLOOKUP(Table1[[#This Row],[Game]],Table14[Game],Table14[release_year])</f>
        <v>2022</v>
      </c>
    </row>
    <row r="615" spans="1:9" x14ac:dyDescent="0.3">
      <c r="A615" s="1">
        <v>417</v>
      </c>
      <c r="B615" t="s">
        <v>12</v>
      </c>
      <c r="C615" t="s">
        <v>421</v>
      </c>
      <c r="D615" t="s">
        <v>936</v>
      </c>
      <c r="E615" s="4">
        <v>1.9E-2</v>
      </c>
      <c r="F615" t="s">
        <v>1041</v>
      </c>
      <c r="H615">
        <f>IFERROR(_xlfn.XLOOKUP(Table1[[#This Row],[Marker]],Table2[Marker],Table2[ID]),-1)</f>
        <v>-1</v>
      </c>
      <c r="I615">
        <f>_xlfn.XLOOKUP(Table1[[#This Row],[Game]],Table14[Game],Table14[release_year])</f>
        <v>2022</v>
      </c>
    </row>
    <row r="616" spans="1:9" x14ac:dyDescent="0.3">
      <c r="A616" s="1">
        <v>418</v>
      </c>
      <c r="B616" t="s">
        <v>12</v>
      </c>
      <c r="C616" t="s">
        <v>422</v>
      </c>
      <c r="D616" t="s">
        <v>937</v>
      </c>
      <c r="E616" s="4">
        <v>1.8000000000000002E-2</v>
      </c>
      <c r="F616" t="s">
        <v>1041</v>
      </c>
      <c r="H616">
        <f>IFERROR(_xlfn.XLOOKUP(Table1[[#This Row],[Marker]],Table2[Marker],Table2[ID]),-1)</f>
        <v>-1</v>
      </c>
      <c r="I616">
        <f>_xlfn.XLOOKUP(Table1[[#This Row],[Game]],Table14[Game],Table14[release_year])</f>
        <v>2022</v>
      </c>
    </row>
    <row r="617" spans="1:9" x14ac:dyDescent="0.3">
      <c r="A617" s="1">
        <v>419</v>
      </c>
      <c r="B617" t="s">
        <v>12</v>
      </c>
      <c r="C617" t="s">
        <v>423</v>
      </c>
      <c r="D617" t="s">
        <v>938</v>
      </c>
      <c r="E617" s="4">
        <v>1.6E-2</v>
      </c>
      <c r="F617" t="s">
        <v>1041</v>
      </c>
      <c r="H617">
        <f>IFERROR(_xlfn.XLOOKUP(Table1[[#This Row],[Marker]],Table2[Marker],Table2[ID]),-1)</f>
        <v>-1</v>
      </c>
      <c r="I617">
        <f>_xlfn.XLOOKUP(Table1[[#This Row],[Game]],Table14[Game],Table14[release_year])</f>
        <v>2022</v>
      </c>
    </row>
    <row r="618" spans="1:9" x14ac:dyDescent="0.3">
      <c r="A618" s="1">
        <v>420</v>
      </c>
      <c r="B618" t="s">
        <v>12</v>
      </c>
      <c r="C618" t="s">
        <v>424</v>
      </c>
      <c r="D618" t="s">
        <v>939</v>
      </c>
      <c r="E618" s="4">
        <v>1.4999999999999999E-2</v>
      </c>
      <c r="F618" t="s">
        <v>1041</v>
      </c>
      <c r="H618">
        <f>IFERROR(_xlfn.XLOOKUP(Table1[[#This Row],[Marker]],Table2[Marker],Table2[ID]),-1)</f>
        <v>-1</v>
      </c>
      <c r="I618">
        <f>_xlfn.XLOOKUP(Table1[[#This Row],[Game]],Table14[Game],Table14[release_year])</f>
        <v>2022</v>
      </c>
    </row>
    <row r="619" spans="1:9" x14ac:dyDescent="0.3">
      <c r="A619" s="1">
        <v>421</v>
      </c>
      <c r="B619" t="s">
        <v>12</v>
      </c>
      <c r="C619" t="s">
        <v>425</v>
      </c>
      <c r="D619" t="s">
        <v>940</v>
      </c>
      <c r="E619" s="4">
        <v>1.4999999999999999E-2</v>
      </c>
      <c r="F619" t="s">
        <v>1041</v>
      </c>
      <c r="H619">
        <f>IFERROR(_xlfn.XLOOKUP(Table1[[#This Row],[Marker]],Table2[Marker],Table2[ID]),-1)</f>
        <v>-1</v>
      </c>
      <c r="I619">
        <f>_xlfn.XLOOKUP(Table1[[#This Row],[Game]],Table14[Game],Table14[release_year])</f>
        <v>2022</v>
      </c>
    </row>
    <row r="620" spans="1:9" x14ac:dyDescent="0.3">
      <c r="A620" s="1">
        <v>422</v>
      </c>
      <c r="B620" t="s">
        <v>12</v>
      </c>
      <c r="C620" t="s">
        <v>426</v>
      </c>
      <c r="D620" t="s">
        <v>941</v>
      </c>
      <c r="E620" s="4">
        <v>1.2E-2</v>
      </c>
      <c r="F620" t="s">
        <v>1041</v>
      </c>
      <c r="H620">
        <f>IFERROR(_xlfn.XLOOKUP(Table1[[#This Row],[Marker]],Table2[Marker],Table2[ID]),-1)</f>
        <v>-1</v>
      </c>
      <c r="I620">
        <f>_xlfn.XLOOKUP(Table1[[#This Row],[Game]],Table14[Game],Table14[release_year])</f>
        <v>2022</v>
      </c>
    </row>
    <row r="621" spans="1:9" x14ac:dyDescent="0.3">
      <c r="A621" s="1">
        <v>0</v>
      </c>
      <c r="B621" t="s">
        <v>1286</v>
      </c>
      <c r="C621" t="s">
        <v>1287</v>
      </c>
      <c r="D621" t="s">
        <v>1288</v>
      </c>
      <c r="E621" s="4">
        <v>0.89500000000000002</v>
      </c>
      <c r="F621" s="2" t="s">
        <v>1289</v>
      </c>
      <c r="G621" t="s">
        <v>1273</v>
      </c>
      <c r="H621">
        <f>IFERROR(_xlfn.XLOOKUP(Table1[[#This Row],[Marker]],Table2[Marker],Table2[ID]),-1)</f>
        <v>2</v>
      </c>
      <c r="I621">
        <f>_xlfn.XLOOKUP(Table1[[#This Row],[Game]],Table14[Game],Table14[release_year])</f>
        <v>2026</v>
      </c>
    </row>
    <row r="622" spans="1:9" x14ac:dyDescent="0.3">
      <c r="A622" s="1">
        <v>1</v>
      </c>
      <c r="B622" t="s">
        <v>1286</v>
      </c>
      <c r="C622" t="s">
        <v>1290</v>
      </c>
      <c r="D622" t="s">
        <v>1291</v>
      </c>
      <c r="E622" s="4">
        <v>0.87400000000000011</v>
      </c>
      <c r="F622" s="2" t="s">
        <v>1292</v>
      </c>
      <c r="H622">
        <f>IFERROR(_xlfn.XLOOKUP(Table1[[#This Row],[Marker]],Table2[Marker],Table2[ID]),-1)</f>
        <v>-1</v>
      </c>
      <c r="I622">
        <f>_xlfn.XLOOKUP(Table1[[#This Row],[Game]],Table14[Game],Table14[release_year])</f>
        <v>2026</v>
      </c>
    </row>
    <row r="623" spans="1:9" x14ac:dyDescent="0.3">
      <c r="A623" s="1">
        <v>2</v>
      </c>
      <c r="B623" t="s">
        <v>1286</v>
      </c>
      <c r="C623" t="s">
        <v>1293</v>
      </c>
      <c r="D623" t="s">
        <v>1294</v>
      </c>
      <c r="E623" s="4">
        <v>0.86799999999999999</v>
      </c>
      <c r="F623" t="s">
        <v>1041</v>
      </c>
      <c r="H623">
        <f>IFERROR(_xlfn.XLOOKUP(Table1[[#This Row],[Marker]],Table2[Marker],Table2[ID]),-1)</f>
        <v>-1</v>
      </c>
      <c r="I623">
        <f>_xlfn.XLOOKUP(Table1[[#This Row],[Game]],Table14[Game],Table14[release_year])</f>
        <v>2026</v>
      </c>
    </row>
    <row r="624" spans="1:9" x14ac:dyDescent="0.3">
      <c r="A624" s="1">
        <v>3</v>
      </c>
      <c r="B624" t="s">
        <v>1286</v>
      </c>
      <c r="C624" t="s">
        <v>1295</v>
      </c>
      <c r="D624" t="s">
        <v>1296</v>
      </c>
      <c r="E624" s="4">
        <v>0.83200000000000007</v>
      </c>
      <c r="F624" t="s">
        <v>1041</v>
      </c>
      <c r="H624">
        <f>IFERROR(_xlfn.XLOOKUP(Table1[[#This Row],[Marker]],Table2[Marker],Table2[ID]),-1)</f>
        <v>-1</v>
      </c>
      <c r="I624">
        <f>_xlfn.XLOOKUP(Table1[[#This Row],[Game]],Table14[Game],Table14[release_year])</f>
        <v>2026</v>
      </c>
    </row>
    <row r="625" spans="1:9" x14ac:dyDescent="0.3">
      <c r="A625" s="1">
        <v>4</v>
      </c>
      <c r="B625" t="s">
        <v>1286</v>
      </c>
      <c r="C625" t="s">
        <v>1297</v>
      </c>
      <c r="D625" t="s">
        <v>1298</v>
      </c>
      <c r="E625" s="4">
        <v>0.78799999999999992</v>
      </c>
      <c r="F625" t="s">
        <v>1041</v>
      </c>
      <c r="H625">
        <f>IFERROR(_xlfn.XLOOKUP(Table1[[#This Row],[Marker]],Table2[Marker],Table2[ID]),-1)</f>
        <v>-1</v>
      </c>
      <c r="I625">
        <f>_xlfn.XLOOKUP(Table1[[#This Row],[Game]],Table14[Game],Table14[release_year])</f>
        <v>2026</v>
      </c>
    </row>
    <row r="626" spans="1:9" x14ac:dyDescent="0.3">
      <c r="A626" s="1">
        <v>5</v>
      </c>
      <c r="B626" t="s">
        <v>1286</v>
      </c>
      <c r="C626" t="s">
        <v>1299</v>
      </c>
      <c r="D626" t="s">
        <v>1300</v>
      </c>
      <c r="E626" s="4">
        <v>0.74400000000000011</v>
      </c>
      <c r="F626" t="s">
        <v>1041</v>
      </c>
      <c r="H626">
        <f>IFERROR(_xlfn.XLOOKUP(Table1[[#This Row],[Marker]],Table2[Marker],Table2[ID]),-1)</f>
        <v>-1</v>
      </c>
      <c r="I626">
        <f>_xlfn.XLOOKUP(Table1[[#This Row],[Game]],Table14[Game],Table14[release_year])</f>
        <v>2026</v>
      </c>
    </row>
    <row r="627" spans="1:9" x14ac:dyDescent="0.3">
      <c r="A627" s="1">
        <v>6</v>
      </c>
      <c r="B627" t="s">
        <v>1286</v>
      </c>
      <c r="C627" t="s">
        <v>1301</v>
      </c>
      <c r="D627" t="s">
        <v>1302</v>
      </c>
      <c r="E627" s="4">
        <v>0.7</v>
      </c>
      <c r="F627" t="s">
        <v>1041</v>
      </c>
      <c r="H627">
        <f>IFERROR(_xlfn.XLOOKUP(Table1[[#This Row],[Marker]],Table2[Marker],Table2[ID]),-1)</f>
        <v>-1</v>
      </c>
      <c r="I627">
        <f>_xlfn.XLOOKUP(Table1[[#This Row],[Game]],Table14[Game],Table14[release_year])</f>
        <v>2026</v>
      </c>
    </row>
    <row r="628" spans="1:9" x14ac:dyDescent="0.3">
      <c r="A628" s="1">
        <v>7</v>
      </c>
      <c r="B628" t="s">
        <v>1286</v>
      </c>
      <c r="C628" t="s">
        <v>1303</v>
      </c>
      <c r="D628" t="s">
        <v>1304</v>
      </c>
      <c r="E628" s="4">
        <v>0.67200000000000004</v>
      </c>
      <c r="F628" t="s">
        <v>1041</v>
      </c>
      <c r="H628">
        <f>IFERROR(_xlfn.XLOOKUP(Table1[[#This Row],[Marker]],Table2[Marker],Table2[ID]),-1)</f>
        <v>-1</v>
      </c>
      <c r="I628">
        <f>_xlfn.XLOOKUP(Table1[[#This Row],[Game]],Table14[Game],Table14[release_year])</f>
        <v>2026</v>
      </c>
    </row>
    <row r="629" spans="1:9" x14ac:dyDescent="0.3">
      <c r="A629" s="1">
        <v>8</v>
      </c>
      <c r="B629" t="s">
        <v>1286</v>
      </c>
      <c r="C629" t="s">
        <v>1305</v>
      </c>
      <c r="D629" t="s">
        <v>1306</v>
      </c>
      <c r="E629" s="4">
        <v>0.63300000000000001</v>
      </c>
      <c r="F629" t="s">
        <v>1041</v>
      </c>
      <c r="G629" t="s">
        <v>1274</v>
      </c>
      <c r="H629">
        <f>IFERROR(_xlfn.XLOOKUP(Table1[[#This Row],[Marker]],Table2[Marker],Table2[ID]),-1)</f>
        <v>3</v>
      </c>
      <c r="I629">
        <f>_xlfn.XLOOKUP(Table1[[#This Row],[Game]],Table14[Game],Table14[release_year])</f>
        <v>2026</v>
      </c>
    </row>
    <row r="630" spans="1:9" x14ac:dyDescent="0.3">
      <c r="A630" s="1">
        <v>9</v>
      </c>
      <c r="B630" t="s">
        <v>1286</v>
      </c>
      <c r="C630" t="s">
        <v>1307</v>
      </c>
      <c r="D630" t="s">
        <v>1308</v>
      </c>
      <c r="E630" s="4">
        <v>0.63</v>
      </c>
      <c r="F630" t="s">
        <v>1041</v>
      </c>
      <c r="H630">
        <f>IFERROR(_xlfn.XLOOKUP(Table1[[#This Row],[Marker]],Table2[Marker],Table2[ID]),-1)</f>
        <v>-1</v>
      </c>
      <c r="I630">
        <f>_xlfn.XLOOKUP(Table1[[#This Row],[Game]],Table14[Game],Table14[release_year])</f>
        <v>2026</v>
      </c>
    </row>
    <row r="631" spans="1:9" x14ac:dyDescent="0.3">
      <c r="A631" s="1">
        <v>10</v>
      </c>
      <c r="B631" t="s">
        <v>1286</v>
      </c>
      <c r="C631" t="s">
        <v>1309</v>
      </c>
      <c r="D631" t="s">
        <v>1310</v>
      </c>
      <c r="E631" s="4">
        <v>0.60899999999999999</v>
      </c>
      <c r="F631" t="s">
        <v>1041</v>
      </c>
      <c r="H631">
        <f>IFERROR(_xlfn.XLOOKUP(Table1[[#This Row],[Marker]],Table2[Marker],Table2[ID]),-1)</f>
        <v>-1</v>
      </c>
      <c r="I631">
        <f>_xlfn.XLOOKUP(Table1[[#This Row],[Game]],Table14[Game],Table14[release_year])</f>
        <v>2026</v>
      </c>
    </row>
    <row r="632" spans="1:9" x14ac:dyDescent="0.3">
      <c r="A632" s="1">
        <v>11</v>
      </c>
      <c r="B632" t="s">
        <v>1286</v>
      </c>
      <c r="C632" t="s">
        <v>1311</v>
      </c>
      <c r="D632" t="s">
        <v>1312</v>
      </c>
      <c r="E632" s="4">
        <v>0.60299999999999998</v>
      </c>
      <c r="F632" t="s">
        <v>1041</v>
      </c>
      <c r="H632">
        <f>IFERROR(_xlfn.XLOOKUP(Table1[[#This Row],[Marker]],Table2[Marker],Table2[ID]),-1)</f>
        <v>-1</v>
      </c>
      <c r="I632">
        <f>_xlfn.XLOOKUP(Table1[[#This Row],[Game]],Table14[Game],Table14[release_year])</f>
        <v>2026</v>
      </c>
    </row>
    <row r="633" spans="1:9" x14ac:dyDescent="0.3">
      <c r="A633" s="1">
        <v>12</v>
      </c>
      <c r="B633" t="s">
        <v>1286</v>
      </c>
      <c r="C633" t="s">
        <v>1313</v>
      </c>
      <c r="D633" t="s">
        <v>1314</v>
      </c>
      <c r="E633" s="4">
        <v>0.59499999999999997</v>
      </c>
      <c r="F633" t="s">
        <v>1041</v>
      </c>
      <c r="H633">
        <f>IFERROR(_xlfn.XLOOKUP(Table1[[#This Row],[Marker]],Table2[Marker],Table2[ID]),-1)</f>
        <v>-1</v>
      </c>
      <c r="I633">
        <f>_xlfn.XLOOKUP(Table1[[#This Row],[Game]],Table14[Game],Table14[release_year])</f>
        <v>2026</v>
      </c>
    </row>
    <row r="634" spans="1:9" x14ac:dyDescent="0.3">
      <c r="A634" s="1">
        <v>13</v>
      </c>
      <c r="B634" t="s">
        <v>1286</v>
      </c>
      <c r="C634" t="s">
        <v>1315</v>
      </c>
      <c r="D634" t="s">
        <v>1316</v>
      </c>
      <c r="E634" s="4">
        <v>0.58700000000000008</v>
      </c>
      <c r="F634" t="s">
        <v>1041</v>
      </c>
      <c r="H634">
        <f>IFERROR(_xlfn.XLOOKUP(Table1[[#This Row],[Marker]],Table2[Marker],Table2[ID]),-1)</f>
        <v>-1</v>
      </c>
      <c r="I634">
        <f>_xlfn.XLOOKUP(Table1[[#This Row],[Game]],Table14[Game],Table14[release_year])</f>
        <v>2026</v>
      </c>
    </row>
    <row r="635" spans="1:9" x14ac:dyDescent="0.3">
      <c r="A635" s="1">
        <v>14</v>
      </c>
      <c r="B635" t="s">
        <v>1286</v>
      </c>
      <c r="C635" t="s">
        <v>1317</v>
      </c>
      <c r="D635" t="s">
        <v>1318</v>
      </c>
      <c r="E635" s="4">
        <v>0.55500000000000005</v>
      </c>
      <c r="F635" t="s">
        <v>1041</v>
      </c>
      <c r="G635" t="s">
        <v>1275</v>
      </c>
      <c r="H635">
        <f>IFERROR(_xlfn.XLOOKUP(Table1[[#This Row],[Marker]],Table2[Marker],Table2[ID]),-1)</f>
        <v>4</v>
      </c>
      <c r="I635">
        <f>_xlfn.XLOOKUP(Table1[[#This Row],[Game]],Table14[Game],Table14[release_year])</f>
        <v>2026</v>
      </c>
    </row>
    <row r="636" spans="1:9" x14ac:dyDescent="0.3">
      <c r="A636" s="1">
        <v>15</v>
      </c>
      <c r="B636" t="s">
        <v>1286</v>
      </c>
      <c r="C636" t="s">
        <v>1319</v>
      </c>
      <c r="D636" t="s">
        <v>1320</v>
      </c>
      <c r="E636" s="4">
        <v>0.51700000000000002</v>
      </c>
      <c r="F636" t="s">
        <v>1041</v>
      </c>
      <c r="H636">
        <f>IFERROR(_xlfn.XLOOKUP(Table1[[#This Row],[Marker]],Table2[Marker],Table2[ID]),-1)</f>
        <v>-1</v>
      </c>
      <c r="I636">
        <f>_xlfn.XLOOKUP(Table1[[#This Row],[Game]],Table14[Game],Table14[release_year])</f>
        <v>2026</v>
      </c>
    </row>
    <row r="637" spans="1:9" x14ac:dyDescent="0.3">
      <c r="A637" s="1">
        <v>16</v>
      </c>
      <c r="B637" t="s">
        <v>1286</v>
      </c>
      <c r="C637" t="s">
        <v>1321</v>
      </c>
      <c r="D637" t="s">
        <v>1322</v>
      </c>
      <c r="E637" s="4">
        <v>0.51300000000000001</v>
      </c>
      <c r="F637" t="s">
        <v>1041</v>
      </c>
      <c r="H637">
        <f>IFERROR(_xlfn.XLOOKUP(Table1[[#This Row],[Marker]],Table2[Marker],Table2[ID]),-1)</f>
        <v>-1</v>
      </c>
      <c r="I637">
        <f>_xlfn.XLOOKUP(Table1[[#This Row],[Game]],Table14[Game],Table14[release_year])</f>
        <v>2026</v>
      </c>
    </row>
    <row r="638" spans="1:9" x14ac:dyDescent="0.3">
      <c r="A638" s="1">
        <v>17</v>
      </c>
      <c r="B638" t="s">
        <v>1286</v>
      </c>
      <c r="C638" t="s">
        <v>1323</v>
      </c>
      <c r="D638" t="s">
        <v>1324</v>
      </c>
      <c r="E638" s="4">
        <v>0.50700000000000001</v>
      </c>
      <c r="F638" t="s">
        <v>1041</v>
      </c>
      <c r="H638">
        <f>IFERROR(_xlfn.XLOOKUP(Table1[[#This Row],[Marker]],Table2[Marker],Table2[ID]),-1)</f>
        <v>-1</v>
      </c>
      <c r="I638">
        <f>_xlfn.XLOOKUP(Table1[[#This Row],[Game]],Table14[Game],Table14[release_year])</f>
        <v>2026</v>
      </c>
    </row>
    <row r="639" spans="1:9" x14ac:dyDescent="0.3">
      <c r="A639" s="1">
        <v>18</v>
      </c>
      <c r="B639" t="s">
        <v>1286</v>
      </c>
      <c r="C639" t="s">
        <v>1325</v>
      </c>
      <c r="D639" t="s">
        <v>1326</v>
      </c>
      <c r="E639" s="4">
        <v>0.5</v>
      </c>
      <c r="F639" t="s">
        <v>1041</v>
      </c>
      <c r="H639">
        <f>IFERROR(_xlfn.XLOOKUP(Table1[[#This Row],[Marker]],Table2[Marker],Table2[ID]),-1)</f>
        <v>-1</v>
      </c>
      <c r="I639">
        <f>_xlfn.XLOOKUP(Table1[[#This Row],[Game]],Table14[Game],Table14[release_year])</f>
        <v>2026</v>
      </c>
    </row>
    <row r="640" spans="1:9" x14ac:dyDescent="0.3">
      <c r="A640" s="1">
        <v>19</v>
      </c>
      <c r="B640" t="s">
        <v>1286</v>
      </c>
      <c r="C640" t="s">
        <v>1327</v>
      </c>
      <c r="D640" t="s">
        <v>1328</v>
      </c>
      <c r="E640" s="4">
        <v>0.49399999999999999</v>
      </c>
      <c r="F640" t="s">
        <v>1041</v>
      </c>
      <c r="H640">
        <f>IFERROR(_xlfn.XLOOKUP(Table1[[#This Row],[Marker]],Table2[Marker],Table2[ID]),-1)</f>
        <v>-1</v>
      </c>
      <c r="I640">
        <f>_xlfn.XLOOKUP(Table1[[#This Row],[Game]],Table14[Game],Table14[release_year])</f>
        <v>2026</v>
      </c>
    </row>
    <row r="641" spans="1:9" x14ac:dyDescent="0.3">
      <c r="A641" s="1">
        <v>20</v>
      </c>
      <c r="B641" t="s">
        <v>1286</v>
      </c>
      <c r="C641" t="s">
        <v>1329</v>
      </c>
      <c r="D641" t="s">
        <v>1330</v>
      </c>
      <c r="E641" s="4">
        <v>0.48699999999999999</v>
      </c>
      <c r="F641" t="s">
        <v>1041</v>
      </c>
      <c r="H641">
        <f>IFERROR(_xlfn.XLOOKUP(Table1[[#This Row],[Marker]],Table2[Marker],Table2[ID]),-1)</f>
        <v>-1</v>
      </c>
      <c r="I641">
        <f>_xlfn.XLOOKUP(Table1[[#This Row],[Game]],Table14[Game],Table14[release_year])</f>
        <v>2026</v>
      </c>
    </row>
    <row r="642" spans="1:9" x14ac:dyDescent="0.3">
      <c r="A642" s="1">
        <v>21</v>
      </c>
      <c r="B642" t="s">
        <v>1286</v>
      </c>
      <c r="C642" t="s">
        <v>1331</v>
      </c>
      <c r="D642" t="s">
        <v>1332</v>
      </c>
      <c r="E642" s="4">
        <v>0.47699999999999998</v>
      </c>
      <c r="F642" t="s">
        <v>1041</v>
      </c>
      <c r="H642">
        <f>IFERROR(_xlfn.XLOOKUP(Table1[[#This Row],[Marker]],Table2[Marker],Table2[ID]),-1)</f>
        <v>-1</v>
      </c>
      <c r="I642">
        <f>_xlfn.XLOOKUP(Table1[[#This Row],[Game]],Table14[Game],Table14[release_year])</f>
        <v>2026</v>
      </c>
    </row>
    <row r="643" spans="1:9" x14ac:dyDescent="0.3">
      <c r="A643" s="1">
        <v>22</v>
      </c>
      <c r="B643" t="s">
        <v>1286</v>
      </c>
      <c r="C643" t="s">
        <v>1333</v>
      </c>
      <c r="D643" t="s">
        <v>1334</v>
      </c>
      <c r="E643" s="4">
        <v>0.40200000000000002</v>
      </c>
      <c r="F643" t="s">
        <v>1041</v>
      </c>
      <c r="H643">
        <f>IFERROR(_xlfn.XLOOKUP(Table1[[#This Row],[Marker]],Table2[Marker],Table2[ID]),-1)</f>
        <v>-1</v>
      </c>
      <c r="I643">
        <f>_xlfn.XLOOKUP(Table1[[#This Row],[Game]],Table14[Game],Table14[release_year])</f>
        <v>2026</v>
      </c>
    </row>
    <row r="644" spans="1:9" x14ac:dyDescent="0.3">
      <c r="A644" s="1">
        <v>23</v>
      </c>
      <c r="B644" t="s">
        <v>1286</v>
      </c>
      <c r="C644" t="s">
        <v>1335</v>
      </c>
      <c r="D644" t="s">
        <v>1336</v>
      </c>
      <c r="E644" s="4">
        <v>0.40100000000000002</v>
      </c>
      <c r="F644" t="s">
        <v>1041</v>
      </c>
      <c r="H644">
        <f>IFERROR(_xlfn.XLOOKUP(Table1[[#This Row],[Marker]],Table2[Marker],Table2[ID]),-1)</f>
        <v>-1</v>
      </c>
      <c r="I644">
        <f>_xlfn.XLOOKUP(Table1[[#This Row],[Game]],Table14[Game],Table14[release_year])</f>
        <v>2026</v>
      </c>
    </row>
    <row r="645" spans="1:9" x14ac:dyDescent="0.3">
      <c r="A645" s="1">
        <v>24</v>
      </c>
      <c r="B645" t="s">
        <v>1286</v>
      </c>
      <c r="C645" t="s">
        <v>1337</v>
      </c>
      <c r="D645" t="s">
        <v>1338</v>
      </c>
      <c r="E645" s="4">
        <v>0.38200000000000001</v>
      </c>
      <c r="F645" t="s">
        <v>1041</v>
      </c>
      <c r="H645">
        <f>IFERROR(_xlfn.XLOOKUP(Table1[[#This Row],[Marker]],Table2[Marker],Table2[ID]),-1)</f>
        <v>-1</v>
      </c>
      <c r="I645">
        <f>_xlfn.XLOOKUP(Table1[[#This Row],[Game]],Table14[Game],Table14[release_year])</f>
        <v>2026</v>
      </c>
    </row>
    <row r="646" spans="1:9" x14ac:dyDescent="0.3">
      <c r="A646" s="1">
        <v>25</v>
      </c>
      <c r="B646" t="s">
        <v>1286</v>
      </c>
      <c r="C646" t="s">
        <v>1339</v>
      </c>
      <c r="D646" t="s">
        <v>1340</v>
      </c>
      <c r="E646" s="4">
        <v>0.36099999999999999</v>
      </c>
      <c r="F646" t="s">
        <v>1041</v>
      </c>
      <c r="H646">
        <f>IFERROR(_xlfn.XLOOKUP(Table1[[#This Row],[Marker]],Table2[Marker],Table2[ID]),-1)</f>
        <v>-1</v>
      </c>
      <c r="I646">
        <f>_xlfn.XLOOKUP(Table1[[#This Row],[Game]],Table14[Game],Table14[release_year])</f>
        <v>2026</v>
      </c>
    </row>
    <row r="647" spans="1:9" x14ac:dyDescent="0.3">
      <c r="A647" s="1">
        <v>26</v>
      </c>
      <c r="B647" t="s">
        <v>1286</v>
      </c>
      <c r="C647" t="s">
        <v>1341</v>
      </c>
      <c r="D647" t="s">
        <v>1342</v>
      </c>
      <c r="E647" s="4">
        <v>0.33700000000000002</v>
      </c>
      <c r="F647" t="s">
        <v>1041</v>
      </c>
      <c r="H647">
        <f>IFERROR(_xlfn.XLOOKUP(Table1[[#This Row],[Marker]],Table2[Marker],Table2[ID]),-1)</f>
        <v>-1</v>
      </c>
      <c r="I647">
        <f>_xlfn.XLOOKUP(Table1[[#This Row],[Game]],Table14[Game],Table14[release_year])</f>
        <v>2026</v>
      </c>
    </row>
    <row r="648" spans="1:9" x14ac:dyDescent="0.3">
      <c r="A648" s="1">
        <v>27</v>
      </c>
      <c r="B648" t="s">
        <v>1286</v>
      </c>
      <c r="C648" t="s">
        <v>1343</v>
      </c>
      <c r="D648" t="s">
        <v>1344</v>
      </c>
      <c r="E648" s="4">
        <v>0.32</v>
      </c>
      <c r="F648" t="s">
        <v>1041</v>
      </c>
      <c r="H648">
        <f>IFERROR(_xlfn.XLOOKUP(Table1[[#This Row],[Marker]],Table2[Marker],Table2[ID]),-1)</f>
        <v>-1</v>
      </c>
      <c r="I648">
        <f>_xlfn.XLOOKUP(Table1[[#This Row],[Game]],Table14[Game],Table14[release_year])</f>
        <v>2026</v>
      </c>
    </row>
    <row r="649" spans="1:9" x14ac:dyDescent="0.3">
      <c r="A649" s="1">
        <v>28</v>
      </c>
      <c r="B649" t="s">
        <v>1286</v>
      </c>
      <c r="C649" t="s">
        <v>1345</v>
      </c>
      <c r="D649" t="s">
        <v>1346</v>
      </c>
      <c r="E649" s="4">
        <v>0.317</v>
      </c>
      <c r="F649" t="s">
        <v>1041</v>
      </c>
      <c r="H649">
        <f>IFERROR(_xlfn.XLOOKUP(Table1[[#This Row],[Marker]],Table2[Marker],Table2[ID]),-1)</f>
        <v>-1</v>
      </c>
      <c r="I649">
        <f>_xlfn.XLOOKUP(Table1[[#This Row],[Game]],Table14[Game],Table14[release_year])</f>
        <v>2026</v>
      </c>
    </row>
    <row r="650" spans="1:9" x14ac:dyDescent="0.3">
      <c r="A650" s="1">
        <v>29</v>
      </c>
      <c r="B650" t="s">
        <v>1286</v>
      </c>
      <c r="C650" t="s">
        <v>1347</v>
      </c>
      <c r="D650" t="s">
        <v>1348</v>
      </c>
      <c r="E650" s="4">
        <v>0.313</v>
      </c>
      <c r="F650" t="s">
        <v>1041</v>
      </c>
      <c r="H650">
        <f>IFERROR(_xlfn.XLOOKUP(Table1[[#This Row],[Marker]],Table2[Marker],Table2[ID]),-1)</f>
        <v>-1</v>
      </c>
      <c r="I650">
        <f>_xlfn.XLOOKUP(Table1[[#This Row],[Game]],Table14[Game],Table14[release_year])</f>
        <v>2026</v>
      </c>
    </row>
    <row r="651" spans="1:9" x14ac:dyDescent="0.3">
      <c r="A651" s="1">
        <v>30</v>
      </c>
      <c r="B651" t="s">
        <v>1286</v>
      </c>
      <c r="C651" t="s">
        <v>1349</v>
      </c>
      <c r="D651" t="s">
        <v>1350</v>
      </c>
      <c r="E651" s="4">
        <v>0.313</v>
      </c>
      <c r="F651" t="s">
        <v>1041</v>
      </c>
      <c r="H651">
        <f>IFERROR(_xlfn.XLOOKUP(Table1[[#This Row],[Marker]],Table2[Marker],Table2[ID]),-1)</f>
        <v>-1</v>
      </c>
      <c r="I651">
        <f>_xlfn.XLOOKUP(Table1[[#This Row],[Game]],Table14[Game],Table14[release_year])</f>
        <v>2026</v>
      </c>
    </row>
    <row r="652" spans="1:9" x14ac:dyDescent="0.3">
      <c r="A652" s="1">
        <v>31</v>
      </c>
      <c r="B652" t="s">
        <v>1286</v>
      </c>
      <c r="C652" t="s">
        <v>1351</v>
      </c>
      <c r="D652" t="s">
        <v>1352</v>
      </c>
      <c r="E652" s="4">
        <v>0.31</v>
      </c>
      <c r="F652" t="s">
        <v>1041</v>
      </c>
      <c r="H652">
        <f>IFERROR(_xlfn.XLOOKUP(Table1[[#This Row],[Marker]],Table2[Marker],Table2[ID]),-1)</f>
        <v>-1</v>
      </c>
      <c r="I652">
        <f>_xlfn.XLOOKUP(Table1[[#This Row],[Game]],Table14[Game],Table14[release_year])</f>
        <v>2026</v>
      </c>
    </row>
    <row r="653" spans="1:9" x14ac:dyDescent="0.3">
      <c r="A653" s="1">
        <v>32</v>
      </c>
      <c r="B653" t="s">
        <v>1286</v>
      </c>
      <c r="C653" t="s">
        <v>1353</v>
      </c>
      <c r="D653" t="s">
        <v>1354</v>
      </c>
      <c r="E653" s="4">
        <v>0.29099999999999998</v>
      </c>
      <c r="F653" t="s">
        <v>1041</v>
      </c>
      <c r="H653">
        <f>IFERROR(_xlfn.XLOOKUP(Table1[[#This Row],[Marker]],Table2[Marker],Table2[ID]),-1)</f>
        <v>-1</v>
      </c>
      <c r="I653">
        <f>_xlfn.XLOOKUP(Table1[[#This Row],[Game]],Table14[Game],Table14[release_year])</f>
        <v>2026</v>
      </c>
    </row>
    <row r="654" spans="1:9" x14ac:dyDescent="0.3">
      <c r="A654" s="1">
        <v>33</v>
      </c>
      <c r="B654" t="s">
        <v>1286</v>
      </c>
      <c r="C654" t="s">
        <v>1355</v>
      </c>
      <c r="D654" t="s">
        <v>1356</v>
      </c>
      <c r="E654" s="4">
        <v>0.27900000000000003</v>
      </c>
      <c r="F654" t="s">
        <v>1041</v>
      </c>
      <c r="H654">
        <f>IFERROR(_xlfn.XLOOKUP(Table1[[#This Row],[Marker]],Table2[Marker],Table2[ID]),-1)</f>
        <v>-1</v>
      </c>
      <c r="I654">
        <f>_xlfn.XLOOKUP(Table1[[#This Row],[Game]],Table14[Game],Table14[release_year])</f>
        <v>2026</v>
      </c>
    </row>
    <row r="655" spans="1:9" x14ac:dyDescent="0.3">
      <c r="A655" s="1">
        <v>34</v>
      </c>
      <c r="B655" t="s">
        <v>1286</v>
      </c>
      <c r="C655" t="s">
        <v>1357</v>
      </c>
      <c r="D655" t="s">
        <v>1358</v>
      </c>
      <c r="E655" s="4">
        <v>0.26</v>
      </c>
      <c r="F655" t="s">
        <v>1041</v>
      </c>
      <c r="H655">
        <f>IFERROR(_xlfn.XLOOKUP(Table1[[#This Row],[Marker]],Table2[Marker],Table2[ID]),-1)</f>
        <v>-1</v>
      </c>
      <c r="I655">
        <f>_xlfn.XLOOKUP(Table1[[#This Row],[Game]],Table14[Game],Table14[release_year])</f>
        <v>2026</v>
      </c>
    </row>
    <row r="656" spans="1:9" x14ac:dyDescent="0.3">
      <c r="A656" s="1">
        <v>35</v>
      </c>
      <c r="B656" t="s">
        <v>1286</v>
      </c>
      <c r="C656" t="s">
        <v>1359</v>
      </c>
      <c r="D656" t="s">
        <v>1360</v>
      </c>
      <c r="E656" s="4">
        <v>0.254</v>
      </c>
      <c r="F656" t="s">
        <v>1041</v>
      </c>
      <c r="G656" t="s">
        <v>1276</v>
      </c>
      <c r="H656">
        <f>IFERROR(_xlfn.XLOOKUP(Table1[[#This Row],[Marker]],Table2[Marker],Table2[ID]),-1)</f>
        <v>5</v>
      </c>
      <c r="I656">
        <f>_xlfn.XLOOKUP(Table1[[#This Row],[Game]],Table14[Game],Table14[release_year])</f>
        <v>2026</v>
      </c>
    </row>
    <row r="657" spans="1:9" x14ac:dyDescent="0.3">
      <c r="A657" s="1">
        <v>36</v>
      </c>
      <c r="B657" t="s">
        <v>1286</v>
      </c>
      <c r="C657" t="s">
        <v>1361</v>
      </c>
      <c r="D657" t="s">
        <v>1362</v>
      </c>
      <c r="E657" s="4">
        <v>0.21</v>
      </c>
      <c r="F657" t="s">
        <v>1041</v>
      </c>
      <c r="H657">
        <f>IFERROR(_xlfn.XLOOKUP(Table1[[#This Row],[Marker]],Table2[Marker],Table2[ID]),-1)</f>
        <v>-1</v>
      </c>
      <c r="I657">
        <f>_xlfn.XLOOKUP(Table1[[#This Row],[Game]],Table14[Game],Table14[release_year])</f>
        <v>2026</v>
      </c>
    </row>
    <row r="658" spans="1:9" x14ac:dyDescent="0.3">
      <c r="A658" s="1">
        <v>37</v>
      </c>
      <c r="B658" t="s">
        <v>1286</v>
      </c>
      <c r="C658" t="s">
        <v>1363</v>
      </c>
      <c r="D658" t="s">
        <v>1364</v>
      </c>
      <c r="E658" s="4">
        <v>0.20899999999999999</v>
      </c>
      <c r="F658" t="s">
        <v>1041</v>
      </c>
      <c r="H658">
        <f>IFERROR(_xlfn.XLOOKUP(Table1[[#This Row],[Marker]],Table2[Marker],Table2[ID]),-1)</f>
        <v>-1</v>
      </c>
      <c r="I658">
        <f>_xlfn.XLOOKUP(Table1[[#This Row],[Game]],Table14[Game],Table14[release_year])</f>
        <v>2026</v>
      </c>
    </row>
    <row r="659" spans="1:9" x14ac:dyDescent="0.3">
      <c r="A659" s="1">
        <v>38</v>
      </c>
      <c r="B659" t="s">
        <v>1286</v>
      </c>
      <c r="C659" t="s">
        <v>1365</v>
      </c>
      <c r="D659" t="s">
        <v>1366</v>
      </c>
      <c r="E659" s="4">
        <v>0.16300000000000001</v>
      </c>
      <c r="F659" t="s">
        <v>1041</v>
      </c>
      <c r="H659">
        <f>IFERROR(_xlfn.XLOOKUP(Table1[[#This Row],[Marker]],Table2[Marker],Table2[ID]),-1)</f>
        <v>-1</v>
      </c>
      <c r="I659">
        <f>_xlfn.XLOOKUP(Table1[[#This Row],[Game]],Table14[Game],Table14[release_year])</f>
        <v>2026</v>
      </c>
    </row>
    <row r="660" spans="1:9" x14ac:dyDescent="0.3">
      <c r="A660" s="1">
        <v>39</v>
      </c>
      <c r="B660" t="s">
        <v>1286</v>
      </c>
      <c r="C660" t="s">
        <v>1367</v>
      </c>
      <c r="D660" t="s">
        <v>1368</v>
      </c>
      <c r="E660" s="4">
        <v>0.16200000000000001</v>
      </c>
      <c r="F660" t="s">
        <v>1041</v>
      </c>
      <c r="H660">
        <f>IFERROR(_xlfn.XLOOKUP(Table1[[#This Row],[Marker]],Table2[Marker],Table2[ID]),-1)</f>
        <v>-1</v>
      </c>
      <c r="I660">
        <f>_xlfn.XLOOKUP(Table1[[#This Row],[Game]],Table14[Game],Table14[release_year])</f>
        <v>2026</v>
      </c>
    </row>
    <row r="661" spans="1:9" x14ac:dyDescent="0.3">
      <c r="A661" s="1">
        <v>40</v>
      </c>
      <c r="B661" t="s">
        <v>1286</v>
      </c>
      <c r="C661" t="s">
        <v>510</v>
      </c>
      <c r="D661" t="s">
        <v>1369</v>
      </c>
      <c r="E661" s="4">
        <v>0.13</v>
      </c>
      <c r="F661" t="s">
        <v>1041</v>
      </c>
      <c r="H661">
        <f>IFERROR(_xlfn.XLOOKUP(Table1[[#This Row],[Marker]],Table2[Marker],Table2[ID]),-1)</f>
        <v>-1</v>
      </c>
      <c r="I661">
        <f>_xlfn.XLOOKUP(Table1[[#This Row],[Game]],Table14[Game],Table14[release_year])</f>
        <v>2026</v>
      </c>
    </row>
    <row r="662" spans="1:9" x14ac:dyDescent="0.3">
      <c r="A662" s="1">
        <v>41</v>
      </c>
      <c r="B662" t="s">
        <v>1286</v>
      </c>
      <c r="C662" t="s">
        <v>1370</v>
      </c>
      <c r="D662" t="s">
        <v>1371</v>
      </c>
      <c r="E662" s="4">
        <v>0.107</v>
      </c>
      <c r="F662" t="s">
        <v>1041</v>
      </c>
      <c r="H662">
        <f>IFERROR(_xlfn.XLOOKUP(Table1[[#This Row],[Marker]],Table2[Marker],Table2[ID]),-1)</f>
        <v>-1</v>
      </c>
      <c r="I662">
        <f>_xlfn.XLOOKUP(Table1[[#This Row],[Game]],Table14[Game],Table14[release_year])</f>
        <v>2026</v>
      </c>
    </row>
    <row r="663" spans="1:9" x14ac:dyDescent="0.3">
      <c r="A663" s="1">
        <v>42</v>
      </c>
      <c r="B663" t="s">
        <v>1286</v>
      </c>
      <c r="C663" t="s">
        <v>1372</v>
      </c>
      <c r="D663" t="s">
        <v>1373</v>
      </c>
      <c r="E663" s="4">
        <v>0.104</v>
      </c>
      <c r="F663" t="s">
        <v>1041</v>
      </c>
      <c r="H663">
        <f>IFERROR(_xlfn.XLOOKUP(Table1[[#This Row],[Marker]],Table2[Marker],Table2[ID]),-1)</f>
        <v>-1</v>
      </c>
      <c r="I663">
        <f>_xlfn.XLOOKUP(Table1[[#This Row],[Game]],Table14[Game],Table14[release_year])</f>
        <v>2026</v>
      </c>
    </row>
    <row r="664" spans="1:9" x14ac:dyDescent="0.3">
      <c r="A664" s="1">
        <v>43</v>
      </c>
      <c r="B664" t="s">
        <v>1286</v>
      </c>
      <c r="C664" t="s">
        <v>1374</v>
      </c>
      <c r="D664" t="s">
        <v>1375</v>
      </c>
      <c r="E664" s="4">
        <v>9.5000000000000001E-2</v>
      </c>
      <c r="F664" t="s">
        <v>1041</v>
      </c>
      <c r="H664">
        <f>IFERROR(_xlfn.XLOOKUP(Table1[[#This Row],[Marker]],Table2[Marker],Table2[ID]),-1)</f>
        <v>-1</v>
      </c>
      <c r="I664">
        <f>_xlfn.XLOOKUP(Table1[[#This Row],[Game]],Table14[Game],Table14[release_year])</f>
        <v>2026</v>
      </c>
    </row>
    <row r="665" spans="1:9" x14ac:dyDescent="0.3">
      <c r="A665" s="1">
        <v>44</v>
      </c>
      <c r="B665" t="s">
        <v>1286</v>
      </c>
      <c r="C665" t="s">
        <v>1376</v>
      </c>
      <c r="D665" t="s">
        <v>1377</v>
      </c>
      <c r="E665" s="4">
        <v>9.5000000000000001E-2</v>
      </c>
      <c r="F665" t="s">
        <v>1041</v>
      </c>
      <c r="H665">
        <f>IFERROR(_xlfn.XLOOKUP(Table1[[#This Row],[Marker]],Table2[Marker],Table2[ID]),-1)</f>
        <v>-1</v>
      </c>
      <c r="I665">
        <f>_xlfn.XLOOKUP(Table1[[#This Row],[Game]],Table14[Game],Table14[release_year])</f>
        <v>2026</v>
      </c>
    </row>
    <row r="666" spans="1:9" x14ac:dyDescent="0.3">
      <c r="A666" s="1">
        <v>45</v>
      </c>
      <c r="B666" t="s">
        <v>1286</v>
      </c>
      <c r="C666" t="s">
        <v>1378</v>
      </c>
      <c r="D666" t="s">
        <v>1379</v>
      </c>
      <c r="E666" s="4">
        <v>8.4000000000000005E-2</v>
      </c>
      <c r="F666" t="s">
        <v>1041</v>
      </c>
      <c r="H666">
        <f>IFERROR(_xlfn.XLOOKUP(Table1[[#This Row],[Marker]],Table2[Marker],Table2[ID]),-1)</f>
        <v>-1</v>
      </c>
      <c r="I666">
        <f>_xlfn.XLOOKUP(Table1[[#This Row],[Game]],Table14[Game],Table14[release_year])</f>
        <v>2026</v>
      </c>
    </row>
    <row r="667" spans="1:9" x14ac:dyDescent="0.3">
      <c r="A667" s="1">
        <v>46</v>
      </c>
      <c r="B667" t="s">
        <v>1286</v>
      </c>
      <c r="C667" t="s">
        <v>1380</v>
      </c>
      <c r="D667" t="s">
        <v>1381</v>
      </c>
      <c r="E667" s="4">
        <v>6.9000000000000006E-2</v>
      </c>
      <c r="F667" t="s">
        <v>1041</v>
      </c>
      <c r="H667">
        <f>IFERROR(_xlfn.XLOOKUP(Table1[[#This Row],[Marker]],Table2[Marker],Table2[ID]),-1)</f>
        <v>-1</v>
      </c>
      <c r="I667">
        <f>_xlfn.XLOOKUP(Table1[[#This Row],[Game]],Table14[Game],Table14[release_year])</f>
        <v>2026</v>
      </c>
    </row>
    <row r="668" spans="1:9" x14ac:dyDescent="0.3">
      <c r="A668" s="1">
        <v>47</v>
      </c>
      <c r="B668" t="s">
        <v>1286</v>
      </c>
      <c r="C668" t="s">
        <v>1382</v>
      </c>
      <c r="D668" t="s">
        <v>1383</v>
      </c>
      <c r="E668" s="4">
        <v>5.8000000000000003E-2</v>
      </c>
      <c r="F668" t="s">
        <v>1041</v>
      </c>
      <c r="H668">
        <f>IFERROR(_xlfn.XLOOKUP(Table1[[#This Row],[Marker]],Table2[Marker],Table2[ID]),-1)</f>
        <v>-1</v>
      </c>
      <c r="I668">
        <f>_xlfn.XLOOKUP(Table1[[#This Row],[Game]],Table14[Game],Table14[release_year])</f>
        <v>2026</v>
      </c>
    </row>
    <row r="669" spans="1:9" x14ac:dyDescent="0.3">
      <c r="A669" s="1">
        <v>48</v>
      </c>
      <c r="B669" t="s">
        <v>1286</v>
      </c>
      <c r="C669" t="s">
        <v>1384</v>
      </c>
      <c r="D669" t="s">
        <v>1385</v>
      </c>
      <c r="E669" s="4">
        <v>5.7000000000000002E-2</v>
      </c>
      <c r="F669" t="s">
        <v>1041</v>
      </c>
      <c r="H669">
        <f>IFERROR(_xlfn.XLOOKUP(Table1[[#This Row],[Marker]],Table2[Marker],Table2[ID]),-1)</f>
        <v>-1</v>
      </c>
      <c r="I669">
        <f>_xlfn.XLOOKUP(Table1[[#This Row],[Game]],Table14[Game],Table14[release_year])</f>
        <v>2026</v>
      </c>
    </row>
    <row r="670" spans="1:9" x14ac:dyDescent="0.3">
      <c r="A670" s="1">
        <v>49</v>
      </c>
      <c r="B670" t="s">
        <v>1286</v>
      </c>
      <c r="C670" t="s">
        <v>1386</v>
      </c>
      <c r="D670" t="s">
        <v>1387</v>
      </c>
      <c r="E670" s="4">
        <v>3.4000000000000002E-2</v>
      </c>
      <c r="F670" t="s">
        <v>1041</v>
      </c>
      <c r="H670">
        <f>IFERROR(_xlfn.XLOOKUP(Table1[[#This Row],[Marker]],Table2[Marker],Table2[ID]),-1)</f>
        <v>-1</v>
      </c>
      <c r="I670">
        <f>_xlfn.XLOOKUP(Table1[[#This Row],[Game]],Table14[Game],Table14[release_year])</f>
        <v>2026</v>
      </c>
    </row>
    <row r="671" spans="1:9" x14ac:dyDescent="0.3">
      <c r="A671" s="1">
        <v>50</v>
      </c>
      <c r="B671" t="s">
        <v>1286</v>
      </c>
      <c r="C671" t="s">
        <v>1388</v>
      </c>
      <c r="D671" t="s">
        <v>1389</v>
      </c>
      <c r="E671" s="4">
        <v>2.9000000000000001E-2</v>
      </c>
      <c r="F671" t="s">
        <v>1041</v>
      </c>
      <c r="H671">
        <f>IFERROR(_xlfn.XLOOKUP(Table1[[#This Row],[Marker]],Table2[Marker],Table2[ID]),-1)</f>
        <v>-1</v>
      </c>
      <c r="I671">
        <f>_xlfn.XLOOKUP(Table1[[#This Row],[Game]],Table14[Game],Table14[release_year])</f>
        <v>2026</v>
      </c>
    </row>
    <row r="672" spans="1:9" x14ac:dyDescent="0.3">
      <c r="A672" s="10">
        <v>51</v>
      </c>
      <c r="B672" t="s">
        <v>1286</v>
      </c>
      <c r="C672" t="s">
        <v>1390</v>
      </c>
      <c r="D672" t="s">
        <v>1391</v>
      </c>
      <c r="E672" s="5">
        <v>1.9E-2</v>
      </c>
      <c r="F672" t="s">
        <v>1041</v>
      </c>
      <c r="H672">
        <f>IFERROR(_xlfn.XLOOKUP(Table1[[#This Row],[Marker]],Table2[Marker],Table2[ID]),-1)</f>
        <v>-1</v>
      </c>
      <c r="I672">
        <f>_xlfn.XLOOKUP(Table1[[#This Row],[Game]],Table14[Game],Table14[release_year])</f>
        <v>2026</v>
      </c>
    </row>
    <row r="673" spans="1:9" x14ac:dyDescent="0.3">
      <c r="A673" s="1">
        <v>0</v>
      </c>
      <c r="B673" t="s">
        <v>1393</v>
      </c>
      <c r="C673" t="s">
        <v>1394</v>
      </c>
      <c r="D673" t="s">
        <v>1395</v>
      </c>
      <c r="E673" s="4">
        <v>0.83400000000000007</v>
      </c>
      <c r="F673" s="2" t="s">
        <v>1396</v>
      </c>
      <c r="G673" t="s">
        <v>1272</v>
      </c>
      <c r="H673">
        <f>IFERROR(_xlfn.XLOOKUP(Table1[[#This Row],[Marker]],Table2[Marker],Table2[ID]),-1)</f>
        <v>1</v>
      </c>
      <c r="I673">
        <f>_xlfn.XLOOKUP(Table1[[#This Row],[Game]],Table14[Game],Table14[release_year])</f>
        <v>2024</v>
      </c>
    </row>
    <row r="674" spans="1:9" x14ac:dyDescent="0.3">
      <c r="A674" s="1">
        <v>1</v>
      </c>
      <c r="B674" t="s">
        <v>1393</v>
      </c>
      <c r="C674" t="s">
        <v>1397</v>
      </c>
      <c r="D674" t="s">
        <v>1398</v>
      </c>
      <c r="E674" s="4">
        <v>0.58799999999999997</v>
      </c>
      <c r="F674" s="2" t="s">
        <v>1399</v>
      </c>
      <c r="G674" t="s">
        <v>1273</v>
      </c>
      <c r="H674">
        <f>IFERROR(_xlfn.XLOOKUP(Table1[[#This Row],[Marker]],Table2[Marker],Table2[ID]),-1)</f>
        <v>2</v>
      </c>
      <c r="I674">
        <f>_xlfn.XLOOKUP(Table1[[#This Row],[Game]],Table14[Game],Table14[release_year])</f>
        <v>2024</v>
      </c>
    </row>
    <row r="675" spans="1:9" x14ac:dyDescent="0.3">
      <c r="A675" s="1">
        <v>2</v>
      </c>
      <c r="B675" t="s">
        <v>1393</v>
      </c>
      <c r="C675" t="s">
        <v>1400</v>
      </c>
      <c r="D675" t="s">
        <v>1401</v>
      </c>
      <c r="E675" s="4">
        <v>0.47599999999999998</v>
      </c>
      <c r="F675" t="s">
        <v>1041</v>
      </c>
      <c r="H675">
        <f>IFERROR(_xlfn.XLOOKUP(Table1[[#This Row],[Marker]],Table2[Marker],Table2[ID]),-1)</f>
        <v>-1</v>
      </c>
      <c r="I675">
        <f>_xlfn.XLOOKUP(Table1[[#This Row],[Game]],Table14[Game],Table14[release_year])</f>
        <v>2024</v>
      </c>
    </row>
    <row r="676" spans="1:9" x14ac:dyDescent="0.3">
      <c r="A676" s="1">
        <v>3</v>
      </c>
      <c r="B676" t="s">
        <v>1393</v>
      </c>
      <c r="C676" t="s">
        <v>1402</v>
      </c>
      <c r="D676" t="s">
        <v>1403</v>
      </c>
      <c r="E676" s="4">
        <v>0.41799999999999998</v>
      </c>
      <c r="F676" t="s">
        <v>1041</v>
      </c>
      <c r="G676" t="s">
        <v>1274</v>
      </c>
      <c r="H676">
        <f>IFERROR(_xlfn.XLOOKUP(Table1[[#This Row],[Marker]],Table2[Marker],Table2[ID]),-1)</f>
        <v>3</v>
      </c>
      <c r="I676">
        <f>_xlfn.XLOOKUP(Table1[[#This Row],[Game]],Table14[Game],Table14[release_year])</f>
        <v>2024</v>
      </c>
    </row>
    <row r="677" spans="1:9" x14ac:dyDescent="0.3">
      <c r="A677" s="1">
        <v>4</v>
      </c>
      <c r="B677" t="s">
        <v>1393</v>
      </c>
      <c r="C677" t="s">
        <v>1404</v>
      </c>
      <c r="D677" t="s">
        <v>1405</v>
      </c>
      <c r="E677" s="4">
        <v>0.40100000000000002</v>
      </c>
      <c r="F677" t="s">
        <v>1041</v>
      </c>
      <c r="H677">
        <f>IFERROR(_xlfn.XLOOKUP(Table1[[#This Row],[Marker]],Table2[Marker],Table2[ID]),-1)</f>
        <v>-1</v>
      </c>
      <c r="I677">
        <f>_xlfn.XLOOKUP(Table1[[#This Row],[Game]],Table14[Game],Table14[release_year])</f>
        <v>2024</v>
      </c>
    </row>
    <row r="678" spans="1:9" x14ac:dyDescent="0.3">
      <c r="A678" s="1">
        <v>5</v>
      </c>
      <c r="B678" t="s">
        <v>1393</v>
      </c>
      <c r="C678" t="s">
        <v>1406</v>
      </c>
      <c r="D678" t="s">
        <v>1407</v>
      </c>
      <c r="E678" s="4">
        <v>0.373</v>
      </c>
      <c r="F678" t="s">
        <v>1041</v>
      </c>
      <c r="H678">
        <f>IFERROR(_xlfn.XLOOKUP(Table1[[#This Row],[Marker]],Table2[Marker],Table2[ID]),-1)</f>
        <v>-1</v>
      </c>
      <c r="I678">
        <f>_xlfn.XLOOKUP(Table1[[#This Row],[Game]],Table14[Game],Table14[release_year])</f>
        <v>2024</v>
      </c>
    </row>
    <row r="679" spans="1:9" x14ac:dyDescent="0.3">
      <c r="A679" s="1">
        <v>6</v>
      </c>
      <c r="B679" t="s">
        <v>1393</v>
      </c>
      <c r="C679" t="s">
        <v>1408</v>
      </c>
      <c r="D679" t="s">
        <v>1409</v>
      </c>
      <c r="E679" s="4">
        <v>0.35899999999999999</v>
      </c>
      <c r="F679" t="s">
        <v>1041</v>
      </c>
      <c r="G679" t="s">
        <v>1275</v>
      </c>
      <c r="H679">
        <f>IFERROR(_xlfn.XLOOKUP(Table1[[#This Row],[Marker]],Table2[Marker],Table2[ID]),-1)</f>
        <v>4</v>
      </c>
      <c r="I679">
        <f>_xlfn.XLOOKUP(Table1[[#This Row],[Game]],Table14[Game],Table14[release_year])</f>
        <v>2024</v>
      </c>
    </row>
    <row r="680" spans="1:9" x14ac:dyDescent="0.3">
      <c r="A680" s="1">
        <v>7</v>
      </c>
      <c r="B680" t="s">
        <v>1393</v>
      </c>
      <c r="C680" t="s">
        <v>1410</v>
      </c>
      <c r="D680" t="s">
        <v>1411</v>
      </c>
      <c r="E680" s="4">
        <v>0.35499999999999998</v>
      </c>
      <c r="F680" t="s">
        <v>1041</v>
      </c>
      <c r="H680">
        <f>IFERROR(_xlfn.XLOOKUP(Table1[[#This Row],[Marker]],Table2[Marker],Table2[ID]),-1)</f>
        <v>-1</v>
      </c>
      <c r="I680">
        <f>_xlfn.XLOOKUP(Table1[[#This Row],[Game]],Table14[Game],Table14[release_year])</f>
        <v>2024</v>
      </c>
    </row>
    <row r="681" spans="1:9" x14ac:dyDescent="0.3">
      <c r="A681" s="1">
        <v>8</v>
      </c>
      <c r="B681" t="s">
        <v>1393</v>
      </c>
      <c r="C681" t="s">
        <v>1412</v>
      </c>
      <c r="D681" t="s">
        <v>1413</v>
      </c>
      <c r="E681" s="4">
        <v>0.34499999999999997</v>
      </c>
      <c r="F681" t="s">
        <v>1041</v>
      </c>
      <c r="H681">
        <f>IFERROR(_xlfn.XLOOKUP(Table1[[#This Row],[Marker]],Table2[Marker],Table2[ID]),-1)</f>
        <v>-1</v>
      </c>
      <c r="I681">
        <f>_xlfn.XLOOKUP(Table1[[#This Row],[Game]],Table14[Game],Table14[release_year])</f>
        <v>2024</v>
      </c>
    </row>
    <row r="682" spans="1:9" x14ac:dyDescent="0.3">
      <c r="A682" s="1">
        <v>9</v>
      </c>
      <c r="B682" t="s">
        <v>1393</v>
      </c>
      <c r="C682" t="s">
        <v>1414</v>
      </c>
      <c r="D682" t="s">
        <v>1415</v>
      </c>
      <c r="E682" s="4">
        <v>0.33200000000000002</v>
      </c>
      <c r="F682" t="s">
        <v>1041</v>
      </c>
      <c r="H682">
        <f>IFERROR(_xlfn.XLOOKUP(Table1[[#This Row],[Marker]],Table2[Marker],Table2[ID]),-1)</f>
        <v>-1</v>
      </c>
      <c r="I682">
        <f>_xlfn.XLOOKUP(Table1[[#This Row],[Game]],Table14[Game],Table14[release_year])</f>
        <v>2024</v>
      </c>
    </row>
    <row r="683" spans="1:9" x14ac:dyDescent="0.3">
      <c r="A683" s="1">
        <v>10</v>
      </c>
      <c r="B683" t="s">
        <v>1393</v>
      </c>
      <c r="C683" t="s">
        <v>1416</v>
      </c>
      <c r="D683" t="s">
        <v>1417</v>
      </c>
      <c r="E683" s="4">
        <v>0.32600000000000001</v>
      </c>
      <c r="F683" t="s">
        <v>1041</v>
      </c>
      <c r="H683">
        <f>IFERROR(_xlfn.XLOOKUP(Table1[[#This Row],[Marker]],Table2[Marker],Table2[ID]),-1)</f>
        <v>-1</v>
      </c>
      <c r="I683">
        <f>_xlfn.XLOOKUP(Table1[[#This Row],[Game]],Table14[Game],Table14[release_year])</f>
        <v>2024</v>
      </c>
    </row>
    <row r="684" spans="1:9" x14ac:dyDescent="0.3">
      <c r="A684" s="1">
        <v>11</v>
      </c>
      <c r="B684" t="s">
        <v>1393</v>
      </c>
      <c r="C684" t="s">
        <v>1418</v>
      </c>
      <c r="D684" t="s">
        <v>1419</v>
      </c>
      <c r="E684" s="4">
        <v>0.32300000000000001</v>
      </c>
      <c r="F684" t="s">
        <v>1041</v>
      </c>
      <c r="H684">
        <f>IFERROR(_xlfn.XLOOKUP(Table1[[#This Row],[Marker]],Table2[Marker],Table2[ID]),-1)</f>
        <v>-1</v>
      </c>
      <c r="I684">
        <f>_xlfn.XLOOKUP(Table1[[#This Row],[Game]],Table14[Game],Table14[release_year])</f>
        <v>2024</v>
      </c>
    </row>
    <row r="685" spans="1:9" x14ac:dyDescent="0.3">
      <c r="A685" s="1">
        <v>12</v>
      </c>
      <c r="B685" t="s">
        <v>1393</v>
      </c>
      <c r="C685" t="s">
        <v>1420</v>
      </c>
      <c r="D685" t="s">
        <v>1421</v>
      </c>
      <c r="E685" s="4">
        <v>0.3</v>
      </c>
      <c r="F685" t="s">
        <v>1041</v>
      </c>
      <c r="H685">
        <f>IFERROR(_xlfn.XLOOKUP(Table1[[#This Row],[Marker]],Table2[Marker],Table2[ID]),-1)</f>
        <v>-1</v>
      </c>
      <c r="I685">
        <f>_xlfn.XLOOKUP(Table1[[#This Row],[Game]],Table14[Game],Table14[release_year])</f>
        <v>2024</v>
      </c>
    </row>
    <row r="686" spans="1:9" x14ac:dyDescent="0.3">
      <c r="A686" s="1">
        <v>13</v>
      </c>
      <c r="B686" t="s">
        <v>1393</v>
      </c>
      <c r="C686" t="s">
        <v>1422</v>
      </c>
      <c r="D686" t="s">
        <v>1423</v>
      </c>
      <c r="E686" s="4">
        <v>0.29199999999999998</v>
      </c>
      <c r="F686" t="s">
        <v>1041</v>
      </c>
      <c r="H686">
        <f>IFERROR(_xlfn.XLOOKUP(Table1[[#This Row],[Marker]],Table2[Marker],Table2[ID]),-1)</f>
        <v>-1</v>
      </c>
      <c r="I686">
        <f>_xlfn.XLOOKUP(Table1[[#This Row],[Game]],Table14[Game],Table14[release_year])</f>
        <v>2024</v>
      </c>
    </row>
    <row r="687" spans="1:9" x14ac:dyDescent="0.3">
      <c r="A687" s="1">
        <v>14</v>
      </c>
      <c r="B687" t="s">
        <v>1393</v>
      </c>
      <c r="C687" t="s">
        <v>1424</v>
      </c>
      <c r="D687" t="s">
        <v>1425</v>
      </c>
      <c r="E687" s="4">
        <v>0.28100000000000003</v>
      </c>
      <c r="F687" t="s">
        <v>1041</v>
      </c>
      <c r="H687">
        <f>IFERROR(_xlfn.XLOOKUP(Table1[[#This Row],[Marker]],Table2[Marker],Table2[ID]),-1)</f>
        <v>-1</v>
      </c>
      <c r="I687">
        <f>_xlfn.XLOOKUP(Table1[[#This Row],[Game]],Table14[Game],Table14[release_year])</f>
        <v>2024</v>
      </c>
    </row>
    <row r="688" spans="1:9" x14ac:dyDescent="0.3">
      <c r="A688" s="1">
        <v>15</v>
      </c>
      <c r="B688" t="s">
        <v>1393</v>
      </c>
      <c r="C688" t="s">
        <v>1426</v>
      </c>
      <c r="D688" t="s">
        <v>1427</v>
      </c>
      <c r="E688" s="4">
        <v>0.27500000000000002</v>
      </c>
      <c r="F688" t="s">
        <v>1041</v>
      </c>
      <c r="H688">
        <f>IFERROR(_xlfn.XLOOKUP(Table1[[#This Row],[Marker]],Table2[Marker],Table2[ID]),-1)</f>
        <v>-1</v>
      </c>
      <c r="I688">
        <f>_xlfn.XLOOKUP(Table1[[#This Row],[Game]],Table14[Game],Table14[release_year])</f>
        <v>2024</v>
      </c>
    </row>
    <row r="689" spans="1:9" x14ac:dyDescent="0.3">
      <c r="A689" s="1">
        <v>16</v>
      </c>
      <c r="B689" t="s">
        <v>1393</v>
      </c>
      <c r="C689" t="s">
        <v>1428</v>
      </c>
      <c r="D689" t="s">
        <v>1429</v>
      </c>
      <c r="E689" s="4">
        <v>0.26800000000000002</v>
      </c>
      <c r="F689" t="s">
        <v>1041</v>
      </c>
      <c r="H689">
        <f>IFERROR(_xlfn.XLOOKUP(Table1[[#This Row],[Marker]],Table2[Marker],Table2[ID]),-1)</f>
        <v>-1</v>
      </c>
      <c r="I689">
        <f>_xlfn.XLOOKUP(Table1[[#This Row],[Game]],Table14[Game],Table14[release_year])</f>
        <v>2024</v>
      </c>
    </row>
    <row r="690" spans="1:9" x14ac:dyDescent="0.3">
      <c r="A690" s="1">
        <v>17</v>
      </c>
      <c r="B690" t="s">
        <v>1393</v>
      </c>
      <c r="C690" t="s">
        <v>1430</v>
      </c>
      <c r="D690" t="s">
        <v>1431</v>
      </c>
      <c r="E690" s="4">
        <v>0.26600000000000001</v>
      </c>
      <c r="F690" t="s">
        <v>1041</v>
      </c>
      <c r="H690">
        <f>IFERROR(_xlfn.XLOOKUP(Table1[[#This Row],[Marker]],Table2[Marker],Table2[ID]),-1)</f>
        <v>-1</v>
      </c>
      <c r="I690">
        <f>_xlfn.XLOOKUP(Table1[[#This Row],[Game]],Table14[Game],Table14[release_year])</f>
        <v>2024</v>
      </c>
    </row>
    <row r="691" spans="1:9" x14ac:dyDescent="0.3">
      <c r="A691" s="1">
        <v>18</v>
      </c>
      <c r="B691" t="s">
        <v>1393</v>
      </c>
      <c r="C691" t="s">
        <v>1432</v>
      </c>
      <c r="D691" t="s">
        <v>1433</v>
      </c>
      <c r="E691" s="4">
        <v>0.26500000000000001</v>
      </c>
      <c r="F691" t="s">
        <v>1041</v>
      </c>
      <c r="G691" t="s">
        <v>1276</v>
      </c>
      <c r="H691">
        <f>IFERROR(_xlfn.XLOOKUP(Table1[[#This Row],[Marker]],Table2[Marker],Table2[ID]),-1)</f>
        <v>5</v>
      </c>
      <c r="I691">
        <f>_xlfn.XLOOKUP(Table1[[#This Row],[Game]],Table14[Game],Table14[release_year])</f>
        <v>2024</v>
      </c>
    </row>
    <row r="692" spans="1:9" x14ac:dyDescent="0.3">
      <c r="A692" s="1">
        <v>19</v>
      </c>
      <c r="B692" t="s">
        <v>1393</v>
      </c>
      <c r="C692" t="s">
        <v>1434</v>
      </c>
      <c r="D692" t="s">
        <v>1435</v>
      </c>
      <c r="E692" s="4">
        <v>0.252</v>
      </c>
      <c r="F692" t="s">
        <v>1041</v>
      </c>
      <c r="H692">
        <f>IFERROR(_xlfn.XLOOKUP(Table1[[#This Row],[Marker]],Table2[Marker],Table2[ID]),-1)</f>
        <v>-1</v>
      </c>
      <c r="I692">
        <f>_xlfn.XLOOKUP(Table1[[#This Row],[Game]],Table14[Game],Table14[release_year])</f>
        <v>2024</v>
      </c>
    </row>
    <row r="693" spans="1:9" x14ac:dyDescent="0.3">
      <c r="A693" s="1">
        <v>20</v>
      </c>
      <c r="B693" t="s">
        <v>1393</v>
      </c>
      <c r="C693" t="s">
        <v>1436</v>
      </c>
      <c r="D693" t="s">
        <v>1437</v>
      </c>
      <c r="E693" s="4">
        <v>0.245</v>
      </c>
      <c r="F693" t="s">
        <v>1041</v>
      </c>
      <c r="H693">
        <f>IFERROR(_xlfn.XLOOKUP(Table1[[#This Row],[Marker]],Table2[Marker],Table2[ID]),-1)</f>
        <v>-1</v>
      </c>
      <c r="I693">
        <f>_xlfn.XLOOKUP(Table1[[#This Row],[Game]],Table14[Game],Table14[release_year])</f>
        <v>2024</v>
      </c>
    </row>
    <row r="694" spans="1:9" x14ac:dyDescent="0.3">
      <c r="A694" s="1">
        <v>21</v>
      </c>
      <c r="B694" t="s">
        <v>1393</v>
      </c>
      <c r="C694" t="s">
        <v>1438</v>
      </c>
      <c r="D694" t="s">
        <v>1439</v>
      </c>
      <c r="E694" s="4">
        <v>0.23899999999999999</v>
      </c>
      <c r="F694" t="s">
        <v>1041</v>
      </c>
      <c r="H694">
        <f>IFERROR(_xlfn.XLOOKUP(Table1[[#This Row],[Marker]],Table2[Marker],Table2[ID]),-1)</f>
        <v>-1</v>
      </c>
      <c r="I694">
        <f>_xlfn.XLOOKUP(Table1[[#This Row],[Game]],Table14[Game],Table14[release_year])</f>
        <v>2024</v>
      </c>
    </row>
    <row r="695" spans="1:9" x14ac:dyDescent="0.3">
      <c r="A695" s="1">
        <v>22</v>
      </c>
      <c r="B695" t="s">
        <v>1393</v>
      </c>
      <c r="C695" t="s">
        <v>1440</v>
      </c>
      <c r="D695" t="s">
        <v>1441</v>
      </c>
      <c r="E695" s="4">
        <v>0.22900000000000001</v>
      </c>
      <c r="F695" t="s">
        <v>1041</v>
      </c>
      <c r="H695">
        <f>IFERROR(_xlfn.XLOOKUP(Table1[[#This Row],[Marker]],Table2[Marker],Table2[ID]),-1)</f>
        <v>-1</v>
      </c>
      <c r="I695">
        <f>_xlfn.XLOOKUP(Table1[[#This Row],[Game]],Table14[Game],Table14[release_year])</f>
        <v>2024</v>
      </c>
    </row>
    <row r="696" spans="1:9" x14ac:dyDescent="0.3">
      <c r="A696" s="1">
        <v>23</v>
      </c>
      <c r="B696" t="s">
        <v>1393</v>
      </c>
      <c r="C696" t="s">
        <v>1442</v>
      </c>
      <c r="D696" t="s">
        <v>1443</v>
      </c>
      <c r="E696" s="4">
        <v>0.223</v>
      </c>
      <c r="F696" t="s">
        <v>1041</v>
      </c>
      <c r="H696">
        <f>IFERROR(_xlfn.XLOOKUP(Table1[[#This Row],[Marker]],Table2[Marker],Table2[ID]),-1)</f>
        <v>-1</v>
      </c>
      <c r="I696">
        <f>_xlfn.XLOOKUP(Table1[[#This Row],[Game]],Table14[Game],Table14[release_year])</f>
        <v>2024</v>
      </c>
    </row>
    <row r="697" spans="1:9" x14ac:dyDescent="0.3">
      <c r="A697" s="1">
        <v>24</v>
      </c>
      <c r="B697" t="s">
        <v>1393</v>
      </c>
      <c r="C697" t="s">
        <v>1444</v>
      </c>
      <c r="D697" t="s">
        <v>1445</v>
      </c>
      <c r="E697" s="4">
        <v>0.21</v>
      </c>
      <c r="F697" t="s">
        <v>1041</v>
      </c>
      <c r="H697">
        <f>IFERROR(_xlfn.XLOOKUP(Table1[[#This Row],[Marker]],Table2[Marker],Table2[ID]),-1)</f>
        <v>-1</v>
      </c>
      <c r="I697">
        <f>_xlfn.XLOOKUP(Table1[[#This Row],[Game]],Table14[Game],Table14[release_year])</f>
        <v>2024</v>
      </c>
    </row>
    <row r="698" spans="1:9" x14ac:dyDescent="0.3">
      <c r="A698" s="1">
        <v>25</v>
      </c>
      <c r="B698" t="s">
        <v>1393</v>
      </c>
      <c r="C698" t="s">
        <v>1446</v>
      </c>
      <c r="D698" t="s">
        <v>1447</v>
      </c>
      <c r="E698" s="4">
        <v>0.20200000000000001</v>
      </c>
      <c r="F698" t="s">
        <v>1041</v>
      </c>
      <c r="H698">
        <f>IFERROR(_xlfn.XLOOKUP(Table1[[#This Row],[Marker]],Table2[Marker],Table2[ID]),-1)</f>
        <v>-1</v>
      </c>
      <c r="I698">
        <f>_xlfn.XLOOKUP(Table1[[#This Row],[Game]],Table14[Game],Table14[release_year])</f>
        <v>2024</v>
      </c>
    </row>
    <row r="699" spans="1:9" x14ac:dyDescent="0.3">
      <c r="A699" s="1">
        <v>26</v>
      </c>
      <c r="B699" t="s">
        <v>1393</v>
      </c>
      <c r="C699" t="s">
        <v>1448</v>
      </c>
      <c r="D699" t="s">
        <v>1449</v>
      </c>
      <c r="E699" s="4">
        <v>0.19600000000000001</v>
      </c>
      <c r="F699" t="s">
        <v>1041</v>
      </c>
      <c r="H699">
        <f>IFERROR(_xlfn.XLOOKUP(Table1[[#This Row],[Marker]],Table2[Marker],Table2[ID]),-1)</f>
        <v>-1</v>
      </c>
      <c r="I699">
        <f>_xlfn.XLOOKUP(Table1[[#This Row],[Game]],Table14[Game],Table14[release_year])</f>
        <v>2024</v>
      </c>
    </row>
    <row r="700" spans="1:9" x14ac:dyDescent="0.3">
      <c r="A700" s="1">
        <v>27</v>
      </c>
      <c r="B700" t="s">
        <v>1393</v>
      </c>
      <c r="C700" t="s">
        <v>1450</v>
      </c>
      <c r="D700" t="s">
        <v>1451</v>
      </c>
      <c r="E700" s="4">
        <v>0.19400000000000001</v>
      </c>
      <c r="F700" t="s">
        <v>1041</v>
      </c>
      <c r="H700">
        <f>IFERROR(_xlfn.XLOOKUP(Table1[[#This Row],[Marker]],Table2[Marker],Table2[ID]),-1)</f>
        <v>-1</v>
      </c>
      <c r="I700">
        <f>_xlfn.XLOOKUP(Table1[[#This Row],[Game]],Table14[Game],Table14[release_year])</f>
        <v>2024</v>
      </c>
    </row>
    <row r="701" spans="1:9" x14ac:dyDescent="0.3">
      <c r="A701" s="1">
        <v>28</v>
      </c>
      <c r="B701" t="s">
        <v>1393</v>
      </c>
      <c r="C701" t="s">
        <v>1452</v>
      </c>
      <c r="D701" t="s">
        <v>1453</v>
      </c>
      <c r="E701" s="4">
        <v>0.192</v>
      </c>
      <c r="F701" t="s">
        <v>1041</v>
      </c>
      <c r="H701">
        <f>IFERROR(_xlfn.XLOOKUP(Table1[[#This Row],[Marker]],Table2[Marker],Table2[ID]),-1)</f>
        <v>-1</v>
      </c>
      <c r="I701">
        <f>_xlfn.XLOOKUP(Table1[[#This Row],[Game]],Table14[Game],Table14[release_year])</f>
        <v>2024</v>
      </c>
    </row>
    <row r="702" spans="1:9" x14ac:dyDescent="0.3">
      <c r="A702" s="1">
        <v>29</v>
      </c>
      <c r="B702" t="s">
        <v>1393</v>
      </c>
      <c r="C702" t="s">
        <v>1454</v>
      </c>
      <c r="D702" t="s">
        <v>1455</v>
      </c>
      <c r="E702" s="4">
        <v>0.187</v>
      </c>
      <c r="F702" t="s">
        <v>1041</v>
      </c>
      <c r="H702">
        <f>IFERROR(_xlfn.XLOOKUP(Table1[[#This Row],[Marker]],Table2[Marker],Table2[ID]),-1)</f>
        <v>-1</v>
      </c>
      <c r="I702">
        <f>_xlfn.XLOOKUP(Table1[[#This Row],[Game]],Table14[Game],Table14[release_year])</f>
        <v>2024</v>
      </c>
    </row>
    <row r="703" spans="1:9" x14ac:dyDescent="0.3">
      <c r="A703" s="1">
        <v>30</v>
      </c>
      <c r="B703" t="s">
        <v>1393</v>
      </c>
      <c r="C703" t="s">
        <v>1456</v>
      </c>
      <c r="D703" t="s">
        <v>1457</v>
      </c>
      <c r="E703" s="4">
        <v>0.187</v>
      </c>
      <c r="F703" t="s">
        <v>1041</v>
      </c>
      <c r="H703">
        <f>IFERROR(_xlfn.XLOOKUP(Table1[[#This Row],[Marker]],Table2[Marker],Table2[ID]),-1)</f>
        <v>-1</v>
      </c>
      <c r="I703">
        <f>_xlfn.XLOOKUP(Table1[[#This Row],[Game]],Table14[Game],Table14[release_year])</f>
        <v>2024</v>
      </c>
    </row>
    <row r="704" spans="1:9" x14ac:dyDescent="0.3">
      <c r="A704" s="1">
        <v>31</v>
      </c>
      <c r="B704" t="s">
        <v>1393</v>
      </c>
      <c r="C704" t="s">
        <v>1458</v>
      </c>
      <c r="D704" t="s">
        <v>1459</v>
      </c>
      <c r="E704" s="4">
        <v>0.184</v>
      </c>
      <c r="F704" t="s">
        <v>1041</v>
      </c>
      <c r="H704">
        <f>IFERROR(_xlfn.XLOOKUP(Table1[[#This Row],[Marker]],Table2[Marker],Table2[ID]),-1)</f>
        <v>-1</v>
      </c>
      <c r="I704">
        <f>_xlfn.XLOOKUP(Table1[[#This Row],[Game]],Table14[Game],Table14[release_year])</f>
        <v>2024</v>
      </c>
    </row>
    <row r="705" spans="1:9" x14ac:dyDescent="0.3">
      <c r="A705" s="1">
        <v>32</v>
      </c>
      <c r="B705" t="s">
        <v>1393</v>
      </c>
      <c r="C705" t="s">
        <v>1460</v>
      </c>
      <c r="D705" t="s">
        <v>1461</v>
      </c>
      <c r="E705" s="4">
        <v>0.16900000000000001</v>
      </c>
      <c r="F705" t="s">
        <v>1041</v>
      </c>
      <c r="H705">
        <f>IFERROR(_xlfn.XLOOKUP(Table1[[#This Row],[Marker]],Table2[Marker],Table2[ID]),-1)</f>
        <v>-1</v>
      </c>
      <c r="I705">
        <f>_xlfn.XLOOKUP(Table1[[#This Row],[Game]],Table14[Game],Table14[release_year])</f>
        <v>2024</v>
      </c>
    </row>
    <row r="706" spans="1:9" x14ac:dyDescent="0.3">
      <c r="A706" s="1">
        <v>33</v>
      </c>
      <c r="B706" t="s">
        <v>1393</v>
      </c>
      <c r="C706" t="s">
        <v>1462</v>
      </c>
      <c r="D706" t="s">
        <v>1463</v>
      </c>
      <c r="E706" s="4">
        <v>0.158</v>
      </c>
      <c r="F706" t="s">
        <v>1041</v>
      </c>
      <c r="H706">
        <f>IFERROR(_xlfn.XLOOKUP(Table1[[#This Row],[Marker]],Table2[Marker],Table2[ID]),-1)</f>
        <v>-1</v>
      </c>
      <c r="I706">
        <f>_xlfn.XLOOKUP(Table1[[#This Row],[Game]],Table14[Game],Table14[release_year])</f>
        <v>2024</v>
      </c>
    </row>
    <row r="707" spans="1:9" x14ac:dyDescent="0.3">
      <c r="A707" s="10">
        <v>34</v>
      </c>
      <c r="B707" t="s">
        <v>1393</v>
      </c>
      <c r="C707" t="s">
        <v>1464</v>
      </c>
      <c r="D707" t="s">
        <v>1465</v>
      </c>
      <c r="E707" s="5">
        <v>0.14899999999999999</v>
      </c>
      <c r="F707" t="s">
        <v>1041</v>
      </c>
      <c r="H707">
        <f>IFERROR(_xlfn.XLOOKUP(Table1[[#This Row],[Marker]],Table2[Marker],Table2[ID]),-1)</f>
        <v>-1</v>
      </c>
      <c r="I707">
        <f>_xlfn.XLOOKUP(Table1[[#This Row],[Game]],Table14[Game],Table14[release_year])</f>
        <v>2024</v>
      </c>
    </row>
    <row r="708" spans="1:9" x14ac:dyDescent="0.3">
      <c r="A708" s="1">
        <v>0</v>
      </c>
      <c r="B708" t="s">
        <v>1466</v>
      </c>
      <c r="C708" t="s">
        <v>1467</v>
      </c>
      <c r="D708" t="s">
        <v>1468</v>
      </c>
      <c r="E708" s="4">
        <v>0.93900000000000006</v>
      </c>
      <c r="F708" s="2" t="s">
        <v>1469</v>
      </c>
      <c r="G708" t="s">
        <v>1272</v>
      </c>
      <c r="H708" s="11">
        <f>IFERROR(_xlfn.XLOOKUP(Table1[[#This Row],[Marker]],Table2[Marker],Table2[ID]),-1)</f>
        <v>1</v>
      </c>
      <c r="I708" s="11">
        <f>_xlfn.XLOOKUP(Table1[[#This Row],[Game]],Table14[Game],Table14[release_year])</f>
        <v>2016</v>
      </c>
    </row>
    <row r="709" spans="1:9" x14ac:dyDescent="0.3">
      <c r="A709" s="1">
        <v>1</v>
      </c>
      <c r="B709" t="s">
        <v>1466</v>
      </c>
      <c r="C709" t="s">
        <v>1470</v>
      </c>
      <c r="D709" t="s">
        <v>1471</v>
      </c>
      <c r="E709" s="4">
        <v>0.86199999999999999</v>
      </c>
      <c r="F709" s="2" t="s">
        <v>1472</v>
      </c>
      <c r="G709" t="s">
        <v>1273</v>
      </c>
      <c r="H709" s="11">
        <f>IFERROR(_xlfn.XLOOKUP(Table1[[#This Row],[Marker]],Table2[Marker],Table2[ID]),-1)</f>
        <v>2</v>
      </c>
      <c r="I709" s="11">
        <f>_xlfn.XLOOKUP(Table1[[#This Row],[Game]],Table14[Game],Table14[release_year])</f>
        <v>2016</v>
      </c>
    </row>
    <row r="710" spans="1:9" x14ac:dyDescent="0.3">
      <c r="A710" s="1">
        <v>2</v>
      </c>
      <c r="B710" t="s">
        <v>1466</v>
      </c>
      <c r="C710" t="s">
        <v>1473</v>
      </c>
      <c r="D710" t="s">
        <v>1474</v>
      </c>
      <c r="E710" s="4">
        <v>0.85699999999999998</v>
      </c>
      <c r="F710" t="s">
        <v>1041</v>
      </c>
      <c r="H710" s="11">
        <f>IFERROR(_xlfn.XLOOKUP(Table1[[#This Row],[Marker]],Table2[Marker],Table2[ID]),-1)</f>
        <v>-1</v>
      </c>
      <c r="I710" s="11">
        <f>_xlfn.XLOOKUP(Table1[[#This Row],[Game]],Table14[Game],Table14[release_year])</f>
        <v>2016</v>
      </c>
    </row>
    <row r="711" spans="1:9" x14ac:dyDescent="0.3">
      <c r="A711" s="1">
        <v>3</v>
      </c>
      <c r="B711" t="s">
        <v>1466</v>
      </c>
      <c r="C711" t="s">
        <v>1475</v>
      </c>
      <c r="D711" t="s">
        <v>1476</v>
      </c>
      <c r="E711" s="4">
        <v>0.67700000000000005</v>
      </c>
      <c r="F711" t="s">
        <v>1041</v>
      </c>
      <c r="H711" s="11">
        <f>IFERROR(_xlfn.XLOOKUP(Table1[[#This Row],[Marker]],Table2[Marker],Table2[ID]),-1)</f>
        <v>-1</v>
      </c>
      <c r="I711" s="11">
        <f>_xlfn.XLOOKUP(Table1[[#This Row],[Game]],Table14[Game],Table14[release_year])</f>
        <v>2016</v>
      </c>
    </row>
    <row r="712" spans="1:9" x14ac:dyDescent="0.3">
      <c r="A712" s="1">
        <v>4</v>
      </c>
      <c r="B712" t="s">
        <v>1466</v>
      </c>
      <c r="C712" t="s">
        <v>1477</v>
      </c>
      <c r="D712" t="s">
        <v>1478</v>
      </c>
      <c r="E712" s="4">
        <v>0.65400000000000003</v>
      </c>
      <c r="F712" t="s">
        <v>1041</v>
      </c>
      <c r="H712" s="11">
        <f>IFERROR(_xlfn.XLOOKUP(Table1[[#This Row],[Marker]],Table2[Marker],Table2[ID]),-1)</f>
        <v>-1</v>
      </c>
      <c r="I712" s="11">
        <f>_xlfn.XLOOKUP(Table1[[#This Row],[Game]],Table14[Game],Table14[release_year])</f>
        <v>2016</v>
      </c>
    </row>
    <row r="713" spans="1:9" x14ac:dyDescent="0.3">
      <c r="A713" s="1">
        <v>5</v>
      </c>
      <c r="B713" t="s">
        <v>1466</v>
      </c>
      <c r="C713" t="s">
        <v>1479</v>
      </c>
      <c r="D713" t="s">
        <v>1480</v>
      </c>
      <c r="E713" s="4">
        <v>0.61199999999999999</v>
      </c>
      <c r="F713" t="s">
        <v>1041</v>
      </c>
      <c r="H713" s="11">
        <f>IFERROR(_xlfn.XLOOKUP(Table1[[#This Row],[Marker]],Table2[Marker],Table2[ID]),-1)</f>
        <v>-1</v>
      </c>
      <c r="I713" s="11">
        <f>_xlfn.XLOOKUP(Table1[[#This Row],[Game]],Table14[Game],Table14[release_year])</f>
        <v>2016</v>
      </c>
    </row>
    <row r="714" spans="1:9" x14ac:dyDescent="0.3">
      <c r="A714" s="1">
        <v>6</v>
      </c>
      <c r="B714" t="s">
        <v>1466</v>
      </c>
      <c r="C714" t="s">
        <v>1481</v>
      </c>
      <c r="D714" t="s">
        <v>1482</v>
      </c>
      <c r="E714" s="4">
        <v>0.6</v>
      </c>
      <c r="F714" t="s">
        <v>1041</v>
      </c>
      <c r="H714" s="11">
        <f>IFERROR(_xlfn.XLOOKUP(Table1[[#This Row],[Marker]],Table2[Marker],Table2[ID]),-1)</f>
        <v>-1</v>
      </c>
      <c r="I714" s="11">
        <f>_xlfn.XLOOKUP(Table1[[#This Row],[Game]],Table14[Game],Table14[release_year])</f>
        <v>2016</v>
      </c>
    </row>
    <row r="715" spans="1:9" x14ac:dyDescent="0.3">
      <c r="A715" s="1">
        <v>7</v>
      </c>
      <c r="B715" t="s">
        <v>1466</v>
      </c>
      <c r="C715" t="s">
        <v>1483</v>
      </c>
      <c r="D715" t="s">
        <v>1484</v>
      </c>
      <c r="E715" s="4">
        <v>0.57600000000000007</v>
      </c>
      <c r="F715" t="s">
        <v>1041</v>
      </c>
      <c r="H715" s="11">
        <f>IFERROR(_xlfn.XLOOKUP(Table1[[#This Row],[Marker]],Table2[Marker],Table2[ID]),-1)</f>
        <v>-1</v>
      </c>
      <c r="I715" s="11">
        <f>_xlfn.XLOOKUP(Table1[[#This Row],[Game]],Table14[Game],Table14[release_year])</f>
        <v>2016</v>
      </c>
    </row>
    <row r="716" spans="1:9" x14ac:dyDescent="0.3">
      <c r="A716" s="1">
        <v>8</v>
      </c>
      <c r="B716" t="s">
        <v>1466</v>
      </c>
      <c r="C716" t="s">
        <v>1485</v>
      </c>
      <c r="D716" t="s">
        <v>1486</v>
      </c>
      <c r="E716" s="4">
        <v>0.55000000000000004</v>
      </c>
      <c r="F716" t="s">
        <v>1041</v>
      </c>
      <c r="G716" t="s">
        <v>1274</v>
      </c>
      <c r="H716" s="11">
        <f>IFERROR(_xlfn.XLOOKUP(Table1[[#This Row],[Marker]],Table2[Marker],Table2[ID]),-1)</f>
        <v>3</v>
      </c>
      <c r="I716" s="11">
        <f>_xlfn.XLOOKUP(Table1[[#This Row],[Game]],Table14[Game],Table14[release_year])</f>
        <v>2016</v>
      </c>
    </row>
    <row r="717" spans="1:9" x14ac:dyDescent="0.3">
      <c r="A717" s="1">
        <v>9</v>
      </c>
      <c r="B717" t="s">
        <v>1466</v>
      </c>
      <c r="C717" t="s">
        <v>1487</v>
      </c>
      <c r="D717" t="s">
        <v>1488</v>
      </c>
      <c r="E717" s="4">
        <v>0.54</v>
      </c>
      <c r="F717" t="s">
        <v>1041</v>
      </c>
      <c r="H717" s="11">
        <f>IFERROR(_xlfn.XLOOKUP(Table1[[#This Row],[Marker]],Table2[Marker],Table2[ID]),-1)</f>
        <v>-1</v>
      </c>
      <c r="I717" s="11">
        <f>_xlfn.XLOOKUP(Table1[[#This Row],[Game]],Table14[Game],Table14[release_year])</f>
        <v>2016</v>
      </c>
    </row>
    <row r="718" spans="1:9" x14ac:dyDescent="0.3">
      <c r="A718" s="1">
        <v>10</v>
      </c>
      <c r="B718" t="s">
        <v>1466</v>
      </c>
      <c r="C718" t="s">
        <v>1489</v>
      </c>
      <c r="D718" t="s">
        <v>1490</v>
      </c>
      <c r="E718" s="4">
        <v>0.52900000000000003</v>
      </c>
      <c r="F718" t="s">
        <v>1041</v>
      </c>
      <c r="H718" s="11">
        <f>IFERROR(_xlfn.XLOOKUP(Table1[[#This Row],[Marker]],Table2[Marker],Table2[ID]),-1)</f>
        <v>-1</v>
      </c>
      <c r="I718" s="11">
        <f>_xlfn.XLOOKUP(Table1[[#This Row],[Game]],Table14[Game],Table14[release_year])</f>
        <v>2016</v>
      </c>
    </row>
    <row r="719" spans="1:9" x14ac:dyDescent="0.3">
      <c r="A719" s="1">
        <v>11</v>
      </c>
      <c r="B719" t="s">
        <v>1466</v>
      </c>
      <c r="C719" t="s">
        <v>1491</v>
      </c>
      <c r="D719" t="s">
        <v>1492</v>
      </c>
      <c r="E719" s="4">
        <v>0.52300000000000002</v>
      </c>
      <c r="F719" t="s">
        <v>1041</v>
      </c>
      <c r="H719" s="11">
        <f>IFERROR(_xlfn.XLOOKUP(Table1[[#This Row],[Marker]],Table2[Marker],Table2[ID]),-1)</f>
        <v>-1</v>
      </c>
      <c r="I719" s="11">
        <f>_xlfn.XLOOKUP(Table1[[#This Row],[Game]],Table14[Game],Table14[release_year])</f>
        <v>2016</v>
      </c>
    </row>
    <row r="720" spans="1:9" x14ac:dyDescent="0.3">
      <c r="A720" s="1">
        <v>12</v>
      </c>
      <c r="B720" t="s">
        <v>1466</v>
      </c>
      <c r="C720" t="s">
        <v>1493</v>
      </c>
      <c r="D720" t="s">
        <v>1494</v>
      </c>
      <c r="E720" s="4">
        <v>0.49399999999999999</v>
      </c>
      <c r="F720" t="s">
        <v>1041</v>
      </c>
      <c r="G720" t="s">
        <v>1275</v>
      </c>
      <c r="H720" s="11">
        <f>IFERROR(_xlfn.XLOOKUP(Table1[[#This Row],[Marker]],Table2[Marker],Table2[ID]),-1)</f>
        <v>4</v>
      </c>
      <c r="I720" s="11">
        <f>_xlfn.XLOOKUP(Table1[[#This Row],[Game]],Table14[Game],Table14[release_year])</f>
        <v>2016</v>
      </c>
    </row>
    <row r="721" spans="1:10" x14ac:dyDescent="0.3">
      <c r="A721" s="1">
        <v>13</v>
      </c>
      <c r="B721" t="s">
        <v>1466</v>
      </c>
      <c r="C721" t="s">
        <v>1495</v>
      </c>
      <c r="D721" t="s">
        <v>1496</v>
      </c>
      <c r="E721" s="4">
        <v>0.48499999999999999</v>
      </c>
      <c r="F721" t="s">
        <v>1041</v>
      </c>
      <c r="H721" s="11">
        <f>IFERROR(_xlfn.XLOOKUP(Table1[[#This Row],[Marker]],Table2[Marker],Table2[ID]),-1)</f>
        <v>-1</v>
      </c>
      <c r="I721" s="11">
        <f>_xlfn.XLOOKUP(Table1[[#This Row],[Game]],Table14[Game],Table14[release_year])</f>
        <v>2016</v>
      </c>
    </row>
    <row r="722" spans="1:10" x14ac:dyDescent="0.3">
      <c r="A722" s="1">
        <v>14</v>
      </c>
      <c r="B722" t="s">
        <v>1466</v>
      </c>
      <c r="C722" t="s">
        <v>1497</v>
      </c>
      <c r="D722" t="s">
        <v>1498</v>
      </c>
      <c r="E722" s="4">
        <v>0.48099999999999998</v>
      </c>
      <c r="F722" t="s">
        <v>1041</v>
      </c>
      <c r="H722" s="11">
        <f>IFERROR(_xlfn.XLOOKUP(Table1[[#This Row],[Marker]],Table2[Marker],Table2[ID]),-1)</f>
        <v>-1</v>
      </c>
      <c r="I722" s="11">
        <f>_xlfn.XLOOKUP(Table1[[#This Row],[Game]],Table14[Game],Table14[release_year])</f>
        <v>2016</v>
      </c>
    </row>
    <row r="723" spans="1:10" x14ac:dyDescent="0.3">
      <c r="A723" s="1">
        <v>15</v>
      </c>
      <c r="B723" t="s">
        <v>1466</v>
      </c>
      <c r="C723" t="s">
        <v>1499</v>
      </c>
      <c r="D723" t="s">
        <v>1500</v>
      </c>
      <c r="E723" s="4">
        <v>0.47399999999999998</v>
      </c>
      <c r="F723" t="s">
        <v>1041</v>
      </c>
      <c r="H723" s="11">
        <f>IFERROR(_xlfn.XLOOKUP(Table1[[#This Row],[Marker]],Table2[Marker],Table2[ID]),-1)</f>
        <v>-1</v>
      </c>
      <c r="I723" s="11">
        <f>_xlfn.XLOOKUP(Table1[[#This Row],[Game]],Table14[Game],Table14[release_year])</f>
        <v>2016</v>
      </c>
    </row>
    <row r="724" spans="1:10" x14ac:dyDescent="0.3">
      <c r="A724" s="1">
        <v>16</v>
      </c>
      <c r="B724" t="s">
        <v>1466</v>
      </c>
      <c r="C724" t="s">
        <v>1501</v>
      </c>
      <c r="D724" t="s">
        <v>1502</v>
      </c>
      <c r="E724" s="4">
        <v>0.47399999999999998</v>
      </c>
      <c r="F724" t="s">
        <v>1041</v>
      </c>
      <c r="H724" s="11">
        <f>IFERROR(_xlfn.XLOOKUP(Table1[[#This Row],[Marker]],Table2[Marker],Table2[ID]),-1)</f>
        <v>-1</v>
      </c>
      <c r="I724" s="11">
        <f>_xlfn.XLOOKUP(Table1[[#This Row],[Game]],Table14[Game],Table14[release_year])</f>
        <v>2016</v>
      </c>
    </row>
    <row r="725" spans="1:10" x14ac:dyDescent="0.3">
      <c r="A725" s="1">
        <v>17</v>
      </c>
      <c r="B725" t="s">
        <v>1466</v>
      </c>
      <c r="C725" t="s">
        <v>1503</v>
      </c>
      <c r="D725" t="s">
        <v>1504</v>
      </c>
      <c r="E725" s="4">
        <v>0.45800000000000002</v>
      </c>
      <c r="F725" t="s">
        <v>1041</v>
      </c>
      <c r="H725" s="11">
        <f>IFERROR(_xlfn.XLOOKUP(Table1[[#This Row],[Marker]],Table2[Marker],Table2[ID]),-1)</f>
        <v>-1</v>
      </c>
      <c r="I725" s="11">
        <f>_xlfn.XLOOKUP(Table1[[#This Row],[Game]],Table14[Game],Table14[release_year])</f>
        <v>2016</v>
      </c>
    </row>
    <row r="726" spans="1:10" x14ac:dyDescent="0.3">
      <c r="A726" s="1">
        <v>18</v>
      </c>
      <c r="B726" t="s">
        <v>1466</v>
      </c>
      <c r="C726" t="s">
        <v>1505</v>
      </c>
      <c r="D726" t="s">
        <v>1506</v>
      </c>
      <c r="E726" s="4">
        <v>0.45100000000000001</v>
      </c>
      <c r="F726" t="s">
        <v>1041</v>
      </c>
      <c r="H726" s="11">
        <f>IFERROR(_xlfn.XLOOKUP(Table1[[#This Row],[Marker]],Table2[Marker],Table2[ID]),-1)</f>
        <v>-1</v>
      </c>
      <c r="I726" s="11">
        <f>_xlfn.XLOOKUP(Table1[[#This Row],[Game]],Table14[Game],Table14[release_year])</f>
        <v>2016</v>
      </c>
    </row>
    <row r="727" spans="1:10" x14ac:dyDescent="0.3">
      <c r="A727" s="1">
        <v>19</v>
      </c>
      <c r="B727" t="s">
        <v>1466</v>
      </c>
      <c r="C727" t="s">
        <v>1507</v>
      </c>
      <c r="D727" t="s">
        <v>1508</v>
      </c>
      <c r="E727" s="4">
        <v>0.441</v>
      </c>
      <c r="F727" t="s">
        <v>1041</v>
      </c>
      <c r="H727" s="11">
        <f>IFERROR(_xlfn.XLOOKUP(Table1[[#This Row],[Marker]],Table2[Marker],Table2[ID]),-1)</f>
        <v>-1</v>
      </c>
      <c r="I727" s="11">
        <f>_xlfn.XLOOKUP(Table1[[#This Row],[Game]],Table14[Game],Table14[release_year])</f>
        <v>2016</v>
      </c>
    </row>
    <row r="728" spans="1:10" x14ac:dyDescent="0.3">
      <c r="A728" s="1">
        <v>20</v>
      </c>
      <c r="B728" t="s">
        <v>1466</v>
      </c>
      <c r="C728" t="s">
        <v>1509</v>
      </c>
      <c r="D728" t="s">
        <v>1510</v>
      </c>
      <c r="E728" s="4">
        <v>0.434</v>
      </c>
      <c r="F728" t="s">
        <v>1041</v>
      </c>
      <c r="H728" s="11">
        <f>IFERROR(_xlfn.XLOOKUP(Table1[[#This Row],[Marker]],Table2[Marker],Table2[ID]),-1)</f>
        <v>-1</v>
      </c>
      <c r="I728" s="11">
        <f>_xlfn.XLOOKUP(Table1[[#This Row],[Game]],Table14[Game],Table14[release_year])</f>
        <v>2016</v>
      </c>
    </row>
    <row r="729" spans="1:10" x14ac:dyDescent="0.3">
      <c r="A729" s="1">
        <v>21</v>
      </c>
      <c r="B729" t="s">
        <v>1466</v>
      </c>
      <c r="C729" t="s">
        <v>1511</v>
      </c>
      <c r="D729" t="s">
        <v>1512</v>
      </c>
      <c r="E729" s="4">
        <v>0.42899999999999999</v>
      </c>
      <c r="F729" t="s">
        <v>1041</v>
      </c>
      <c r="H729" s="11">
        <f>IFERROR(_xlfn.XLOOKUP(Table1[[#This Row],[Marker]],Table2[Marker],Table2[ID]),-1)</f>
        <v>-1</v>
      </c>
      <c r="I729" s="11">
        <f>_xlfn.XLOOKUP(Table1[[#This Row],[Game]],Table14[Game],Table14[release_year])</f>
        <v>2016</v>
      </c>
    </row>
    <row r="730" spans="1:10" x14ac:dyDescent="0.3">
      <c r="A730" s="1">
        <v>22</v>
      </c>
      <c r="B730" t="s">
        <v>1466</v>
      </c>
      <c r="C730" t="s">
        <v>1513</v>
      </c>
      <c r="D730" t="s">
        <v>1514</v>
      </c>
      <c r="E730" s="4">
        <v>0.42699999999999999</v>
      </c>
      <c r="F730" t="s">
        <v>1041</v>
      </c>
      <c r="G730" t="s">
        <v>1276</v>
      </c>
      <c r="H730" s="11">
        <f>IFERROR(_xlfn.XLOOKUP(Table1[[#This Row],[Marker]],Table2[Marker],Table2[ID]),-1)</f>
        <v>5</v>
      </c>
      <c r="I730" s="11">
        <f>_xlfn.XLOOKUP(Table1[[#This Row],[Game]],Table14[Game],Table14[release_year])</f>
        <v>2016</v>
      </c>
      <c r="J730" t="s">
        <v>1554</v>
      </c>
    </row>
    <row r="731" spans="1:10" x14ac:dyDescent="0.3">
      <c r="A731" s="1">
        <v>23</v>
      </c>
      <c r="B731" t="s">
        <v>1466</v>
      </c>
      <c r="C731" t="s">
        <v>1515</v>
      </c>
      <c r="D731" t="s">
        <v>1516</v>
      </c>
      <c r="E731" s="4">
        <v>0.42599999999999999</v>
      </c>
      <c r="F731" t="s">
        <v>1041</v>
      </c>
      <c r="H731" s="11">
        <f>IFERROR(_xlfn.XLOOKUP(Table1[[#This Row],[Marker]],Table2[Marker],Table2[ID]),-1)</f>
        <v>-1</v>
      </c>
      <c r="I731" s="11">
        <f>_xlfn.XLOOKUP(Table1[[#This Row],[Game]],Table14[Game],Table14[release_year])</f>
        <v>2016</v>
      </c>
    </row>
    <row r="732" spans="1:10" x14ac:dyDescent="0.3">
      <c r="A732" s="1">
        <v>24</v>
      </c>
      <c r="B732" t="s">
        <v>1466</v>
      </c>
      <c r="C732" t="s">
        <v>1517</v>
      </c>
      <c r="D732" t="s">
        <v>1518</v>
      </c>
      <c r="E732" s="4">
        <v>0.42299999999999999</v>
      </c>
      <c r="F732" t="s">
        <v>1041</v>
      </c>
      <c r="H732" s="11">
        <f>IFERROR(_xlfn.XLOOKUP(Table1[[#This Row],[Marker]],Table2[Marker],Table2[ID]),-1)</f>
        <v>-1</v>
      </c>
      <c r="I732" s="11">
        <f>_xlfn.XLOOKUP(Table1[[#This Row],[Game]],Table14[Game],Table14[release_year])</f>
        <v>2016</v>
      </c>
    </row>
    <row r="733" spans="1:10" x14ac:dyDescent="0.3">
      <c r="A733" s="1">
        <v>25</v>
      </c>
      <c r="B733" t="s">
        <v>1466</v>
      </c>
      <c r="C733" t="s">
        <v>1519</v>
      </c>
      <c r="D733" t="s">
        <v>1520</v>
      </c>
      <c r="E733" s="4">
        <v>0.40699999999999997</v>
      </c>
      <c r="F733" t="s">
        <v>1041</v>
      </c>
      <c r="H733" s="11">
        <f>IFERROR(_xlfn.XLOOKUP(Table1[[#This Row],[Marker]],Table2[Marker],Table2[ID]),-1)</f>
        <v>-1</v>
      </c>
      <c r="I733" s="11">
        <f>_xlfn.XLOOKUP(Table1[[#This Row],[Game]],Table14[Game],Table14[release_year])</f>
        <v>2016</v>
      </c>
    </row>
    <row r="734" spans="1:10" x14ac:dyDescent="0.3">
      <c r="A734" s="1">
        <v>26</v>
      </c>
      <c r="B734" t="s">
        <v>1466</v>
      </c>
      <c r="C734" t="s">
        <v>1521</v>
      </c>
      <c r="D734" t="s">
        <v>1522</v>
      </c>
      <c r="E734" s="4">
        <v>0.40300000000000002</v>
      </c>
      <c r="F734" t="s">
        <v>1041</v>
      </c>
      <c r="H734" s="11">
        <f>IFERROR(_xlfn.XLOOKUP(Table1[[#This Row],[Marker]],Table2[Marker],Table2[ID]),-1)</f>
        <v>-1</v>
      </c>
      <c r="I734" s="11">
        <f>_xlfn.XLOOKUP(Table1[[#This Row],[Game]],Table14[Game],Table14[release_year])</f>
        <v>2016</v>
      </c>
    </row>
    <row r="735" spans="1:10" x14ac:dyDescent="0.3">
      <c r="A735" s="1">
        <v>27</v>
      </c>
      <c r="B735" t="s">
        <v>1466</v>
      </c>
      <c r="C735" t="s">
        <v>1523</v>
      </c>
      <c r="D735" t="s">
        <v>1524</v>
      </c>
      <c r="E735" s="4">
        <v>0.36199999999999999</v>
      </c>
      <c r="F735" t="s">
        <v>1041</v>
      </c>
      <c r="H735" s="11">
        <f>IFERROR(_xlfn.XLOOKUP(Table1[[#This Row],[Marker]],Table2[Marker],Table2[ID]),-1)</f>
        <v>-1</v>
      </c>
      <c r="I735" s="11">
        <f>_xlfn.XLOOKUP(Table1[[#This Row],[Game]],Table14[Game],Table14[release_year])</f>
        <v>2016</v>
      </c>
    </row>
    <row r="736" spans="1:10" x14ac:dyDescent="0.3">
      <c r="A736" s="1">
        <v>28</v>
      </c>
      <c r="B736" t="s">
        <v>1466</v>
      </c>
      <c r="C736" t="s">
        <v>1525</v>
      </c>
      <c r="D736" t="s">
        <v>1526</v>
      </c>
      <c r="E736" s="4">
        <v>0.35199999999999998</v>
      </c>
      <c r="F736" t="s">
        <v>1041</v>
      </c>
      <c r="H736" s="11">
        <f>IFERROR(_xlfn.XLOOKUP(Table1[[#This Row],[Marker]],Table2[Marker],Table2[ID]),-1)</f>
        <v>-1</v>
      </c>
      <c r="I736" s="11">
        <f>_xlfn.XLOOKUP(Table1[[#This Row],[Game]],Table14[Game],Table14[release_year])</f>
        <v>2016</v>
      </c>
    </row>
    <row r="737" spans="1:10" x14ac:dyDescent="0.3">
      <c r="A737" s="1">
        <v>29</v>
      </c>
      <c r="B737" t="s">
        <v>1466</v>
      </c>
      <c r="C737" t="s">
        <v>1527</v>
      </c>
      <c r="D737" t="s">
        <v>1528</v>
      </c>
      <c r="E737" s="4">
        <v>0.33800000000000002</v>
      </c>
      <c r="F737" t="s">
        <v>1041</v>
      </c>
      <c r="H737" s="11">
        <f>IFERROR(_xlfn.XLOOKUP(Table1[[#This Row],[Marker]],Table2[Marker],Table2[ID]),-1)</f>
        <v>-1</v>
      </c>
      <c r="I737" s="11">
        <f>_xlfn.XLOOKUP(Table1[[#This Row],[Game]],Table14[Game],Table14[release_year])</f>
        <v>2016</v>
      </c>
    </row>
    <row r="738" spans="1:10" x14ac:dyDescent="0.3">
      <c r="A738" s="1">
        <v>30</v>
      </c>
      <c r="B738" t="s">
        <v>1466</v>
      </c>
      <c r="C738" t="s">
        <v>1529</v>
      </c>
      <c r="D738" t="s">
        <v>1530</v>
      </c>
      <c r="E738" s="4">
        <v>0.31900000000000001</v>
      </c>
      <c r="F738" t="s">
        <v>1041</v>
      </c>
      <c r="H738" s="11">
        <f>IFERROR(_xlfn.XLOOKUP(Table1[[#This Row],[Marker]],Table2[Marker],Table2[ID]),-1)</f>
        <v>-1</v>
      </c>
      <c r="I738" s="11">
        <f>_xlfn.XLOOKUP(Table1[[#This Row],[Game]],Table14[Game],Table14[release_year])</f>
        <v>2016</v>
      </c>
    </row>
    <row r="739" spans="1:10" x14ac:dyDescent="0.3">
      <c r="A739" s="1">
        <v>31</v>
      </c>
      <c r="B739" t="s">
        <v>1466</v>
      </c>
      <c r="C739" t="s">
        <v>1531</v>
      </c>
      <c r="D739" t="s">
        <v>1532</v>
      </c>
      <c r="E739" s="4">
        <v>0.318</v>
      </c>
      <c r="F739" t="s">
        <v>1041</v>
      </c>
      <c r="H739" s="11">
        <f>IFERROR(_xlfn.XLOOKUP(Table1[[#This Row],[Marker]],Table2[Marker],Table2[ID]),-1)</f>
        <v>-1</v>
      </c>
      <c r="I739" s="11">
        <f>_xlfn.XLOOKUP(Table1[[#This Row],[Game]],Table14[Game],Table14[release_year])</f>
        <v>2016</v>
      </c>
    </row>
    <row r="740" spans="1:10" x14ac:dyDescent="0.3">
      <c r="A740" s="1">
        <v>32</v>
      </c>
      <c r="B740" t="s">
        <v>1466</v>
      </c>
      <c r="C740" t="s">
        <v>1533</v>
      </c>
      <c r="D740" t="s">
        <v>1534</v>
      </c>
      <c r="E740" s="4">
        <v>0.313</v>
      </c>
      <c r="F740" t="s">
        <v>1041</v>
      </c>
      <c r="H740" s="11">
        <f>IFERROR(_xlfn.XLOOKUP(Table1[[#This Row],[Marker]],Table2[Marker],Table2[ID]),-1)</f>
        <v>-1</v>
      </c>
      <c r="I740" s="11">
        <f>_xlfn.XLOOKUP(Table1[[#This Row],[Game]],Table14[Game],Table14[release_year])</f>
        <v>2016</v>
      </c>
    </row>
    <row r="741" spans="1:10" x14ac:dyDescent="0.3">
      <c r="A741" s="1">
        <v>33</v>
      </c>
      <c r="B741" t="s">
        <v>1466</v>
      </c>
      <c r="C741" t="s">
        <v>1535</v>
      </c>
      <c r="D741" t="s">
        <v>1536</v>
      </c>
      <c r="E741" s="4">
        <v>0.26300000000000001</v>
      </c>
      <c r="F741" t="s">
        <v>1041</v>
      </c>
      <c r="H741" s="11">
        <f>IFERROR(_xlfn.XLOOKUP(Table1[[#This Row],[Marker]],Table2[Marker],Table2[ID]),-1)</f>
        <v>-1</v>
      </c>
      <c r="I741" s="11">
        <f>_xlfn.XLOOKUP(Table1[[#This Row],[Game]],Table14[Game],Table14[release_year])</f>
        <v>2016</v>
      </c>
    </row>
    <row r="742" spans="1:10" x14ac:dyDescent="0.3">
      <c r="A742" s="1">
        <v>34</v>
      </c>
      <c r="B742" t="s">
        <v>1466</v>
      </c>
      <c r="C742" t="s">
        <v>1537</v>
      </c>
      <c r="D742" t="s">
        <v>1538</v>
      </c>
      <c r="E742" s="4">
        <v>0.21299999999999999</v>
      </c>
      <c r="F742" t="s">
        <v>1041</v>
      </c>
      <c r="H742" s="11">
        <f>IFERROR(_xlfn.XLOOKUP(Table1[[#This Row],[Marker]],Table2[Marker],Table2[ID]),-1)</f>
        <v>-1</v>
      </c>
      <c r="I742" s="11">
        <f>_xlfn.XLOOKUP(Table1[[#This Row],[Game]],Table14[Game],Table14[release_year])</f>
        <v>2016</v>
      </c>
    </row>
    <row r="743" spans="1:10" x14ac:dyDescent="0.3">
      <c r="A743" s="1">
        <v>35</v>
      </c>
      <c r="B743" t="s">
        <v>1466</v>
      </c>
      <c r="C743" t="s">
        <v>1539</v>
      </c>
      <c r="D743" t="s">
        <v>1540</v>
      </c>
      <c r="E743" s="4">
        <v>0.16</v>
      </c>
      <c r="F743" t="s">
        <v>1041</v>
      </c>
      <c r="H743" s="11">
        <f>IFERROR(_xlfn.XLOOKUP(Table1[[#This Row],[Marker]],Table2[Marker],Table2[ID]),-1)</f>
        <v>-1</v>
      </c>
      <c r="I743" s="11">
        <f>_xlfn.XLOOKUP(Table1[[#This Row],[Game]],Table14[Game],Table14[release_year])</f>
        <v>2016</v>
      </c>
    </row>
    <row r="744" spans="1:10" x14ac:dyDescent="0.3">
      <c r="A744" s="1">
        <v>36</v>
      </c>
      <c r="B744" t="s">
        <v>1466</v>
      </c>
      <c r="C744" t="s">
        <v>1541</v>
      </c>
      <c r="D744" t="s">
        <v>1542</v>
      </c>
      <c r="E744" s="4">
        <v>8.5999999999999993E-2</v>
      </c>
      <c r="F744" t="s">
        <v>1041</v>
      </c>
      <c r="H744" s="11">
        <f>IFERROR(_xlfn.XLOOKUP(Table1[[#This Row],[Marker]],Table2[Marker],Table2[ID]),-1)</f>
        <v>-1</v>
      </c>
      <c r="I744" s="11">
        <f>_xlfn.XLOOKUP(Table1[[#This Row],[Game]],Table14[Game],Table14[release_year])</f>
        <v>2016</v>
      </c>
    </row>
    <row r="745" spans="1:10" x14ac:dyDescent="0.3">
      <c r="A745" s="1">
        <v>37</v>
      </c>
      <c r="B745" t="s">
        <v>1466</v>
      </c>
      <c r="C745" t="s">
        <v>1543</v>
      </c>
      <c r="D745" t="s">
        <v>1544</v>
      </c>
      <c r="E745" s="4">
        <v>7.5999999999999998E-2</v>
      </c>
      <c r="F745" t="s">
        <v>1041</v>
      </c>
      <c r="H745" s="11">
        <f>IFERROR(_xlfn.XLOOKUP(Table1[[#This Row],[Marker]],Table2[Marker],Table2[ID]),-1)</f>
        <v>-1</v>
      </c>
      <c r="I745" s="11">
        <f>_xlfn.XLOOKUP(Table1[[#This Row],[Game]],Table14[Game],Table14[release_year])</f>
        <v>2016</v>
      </c>
    </row>
    <row r="746" spans="1:10" x14ac:dyDescent="0.3">
      <c r="A746" s="1">
        <v>38</v>
      </c>
      <c r="B746" t="s">
        <v>1466</v>
      </c>
      <c r="C746" t="s">
        <v>1545</v>
      </c>
      <c r="D746" t="s">
        <v>1546</v>
      </c>
      <c r="E746" s="4">
        <v>7.0000000000000007E-2</v>
      </c>
      <c r="F746" t="s">
        <v>1041</v>
      </c>
      <c r="H746" s="11">
        <f>IFERROR(_xlfn.XLOOKUP(Table1[[#This Row],[Marker]],Table2[Marker],Table2[ID]),-1)</f>
        <v>-1</v>
      </c>
      <c r="I746" s="11">
        <f>_xlfn.XLOOKUP(Table1[[#This Row],[Game]],Table14[Game],Table14[release_year])</f>
        <v>2016</v>
      </c>
    </row>
    <row r="747" spans="1:10" x14ac:dyDescent="0.3">
      <c r="A747" s="1">
        <v>39</v>
      </c>
      <c r="B747" t="s">
        <v>1466</v>
      </c>
      <c r="C747" t="s">
        <v>1547</v>
      </c>
      <c r="D747" t="s">
        <v>1548</v>
      </c>
      <c r="E747" s="4">
        <v>6.6000000000000003E-2</v>
      </c>
      <c r="F747" t="s">
        <v>1041</v>
      </c>
      <c r="H747" s="11">
        <f>IFERROR(_xlfn.XLOOKUP(Table1[[#This Row],[Marker]],Table2[Marker],Table2[ID]),-1)</f>
        <v>-1</v>
      </c>
      <c r="I747" s="11">
        <f>_xlfn.XLOOKUP(Table1[[#This Row],[Game]],Table14[Game],Table14[release_year])</f>
        <v>2016</v>
      </c>
    </row>
    <row r="748" spans="1:10" x14ac:dyDescent="0.3">
      <c r="A748" s="1">
        <v>40</v>
      </c>
      <c r="B748" t="s">
        <v>1466</v>
      </c>
      <c r="C748" t="s">
        <v>1549</v>
      </c>
      <c r="D748" t="s">
        <v>643</v>
      </c>
      <c r="E748" s="4">
        <v>6.2E-2</v>
      </c>
      <c r="F748" t="s">
        <v>1041</v>
      </c>
      <c r="H748" s="11">
        <f>IFERROR(_xlfn.XLOOKUP(Table1[[#This Row],[Marker]],Table2[Marker],Table2[ID]),-1)</f>
        <v>-1</v>
      </c>
      <c r="I748" s="11">
        <f>_xlfn.XLOOKUP(Table1[[#This Row],[Game]],Table14[Game],Table14[release_year])</f>
        <v>2016</v>
      </c>
    </row>
    <row r="749" spans="1:10" x14ac:dyDescent="0.3">
      <c r="A749" s="1">
        <v>41</v>
      </c>
      <c r="B749" t="s">
        <v>1466</v>
      </c>
      <c r="C749" t="s">
        <v>1550</v>
      </c>
      <c r="D749" t="s">
        <v>1551</v>
      </c>
      <c r="E749" s="4">
        <v>6.0999999999999999E-2</v>
      </c>
      <c r="F749" t="s">
        <v>1041</v>
      </c>
      <c r="H749" s="11">
        <f>IFERROR(_xlfn.XLOOKUP(Table1[[#This Row],[Marker]],Table2[Marker],Table2[ID]),-1)</f>
        <v>-1</v>
      </c>
      <c r="I749" s="11">
        <f>_xlfn.XLOOKUP(Table1[[#This Row],[Game]],Table14[Game],Table14[release_year])</f>
        <v>2016</v>
      </c>
    </row>
    <row r="750" spans="1:10" x14ac:dyDescent="0.3">
      <c r="A750" s="10">
        <v>42</v>
      </c>
      <c r="B750" s="12" t="s">
        <v>1466</v>
      </c>
      <c r="C750" s="12" t="s">
        <v>1552</v>
      </c>
      <c r="D750" s="12" t="s">
        <v>1553</v>
      </c>
      <c r="E750" s="5">
        <v>5.0999999999999997E-2</v>
      </c>
      <c r="F750" s="12" t="s">
        <v>1041</v>
      </c>
      <c r="G750" s="12"/>
      <c r="H750" s="13">
        <f>IFERROR(_xlfn.XLOOKUP(Table1[[#This Row],[Marker]],Table2[Marker],Table2[ID]),-1)</f>
        <v>-1</v>
      </c>
      <c r="I750" s="13">
        <f>_xlfn.XLOOKUP(Table1[[#This Row],[Game]],Table14[Game],Table14[release_year])</f>
        <v>2016</v>
      </c>
      <c r="J750" s="12"/>
    </row>
  </sheetData>
  <hyperlinks>
    <hyperlink ref="F2" r:id="rId1" xr:uid="{00000000-0004-0000-0000-000000000000}"/>
    <hyperlink ref="F3" r:id="rId2" xr:uid="{00000000-0004-0000-0000-000001000000}"/>
    <hyperlink ref="F473" r:id="rId3" xr:uid="{00000000-0004-0000-0000-000002000000}"/>
    <hyperlink ref="F474" r:id="rId4" xr:uid="{00000000-0004-0000-0000-000003000000}"/>
    <hyperlink ref="F180" r:id="rId5" xr:uid="{00000000-0004-0000-0000-000004000000}"/>
    <hyperlink ref="F181" r:id="rId6" xr:uid="{00000000-0004-0000-0000-000005000000}"/>
    <hyperlink ref="F526" r:id="rId7" xr:uid="{00000000-0004-0000-0000-000006000000}"/>
    <hyperlink ref="F527" r:id="rId8" xr:uid="{00000000-0004-0000-0000-000007000000}"/>
    <hyperlink ref="F222" r:id="rId9" xr:uid="{00000000-0004-0000-0000-000008000000}"/>
    <hyperlink ref="F223" r:id="rId10" xr:uid="{00000000-0004-0000-0000-000009000000}"/>
    <hyperlink ref="F421" r:id="rId11" xr:uid="{00000000-0004-0000-0000-00000A000000}"/>
    <hyperlink ref="F422" r:id="rId12" xr:uid="{00000000-0004-0000-0000-00000B000000}"/>
    <hyperlink ref="F358" r:id="rId13" xr:uid="{00000000-0004-0000-0000-00000C000000}"/>
    <hyperlink ref="F359" r:id="rId14" xr:uid="{00000000-0004-0000-0000-00000D000000}"/>
    <hyperlink ref="F560" r:id="rId15" xr:uid="{00000000-0004-0000-0000-00000E000000}"/>
    <hyperlink ref="F561" r:id="rId16" xr:uid="{00000000-0004-0000-0000-00000F000000}"/>
    <hyperlink ref="F259" r:id="rId17" xr:uid="{00000000-0004-0000-0000-000010000000}"/>
    <hyperlink ref="F308" r:id="rId18" xr:uid="{00000000-0004-0000-0000-000011000000}"/>
    <hyperlink ref="F309" r:id="rId19" xr:uid="{00000000-0004-0000-0000-000012000000}"/>
    <hyperlink ref="F83" r:id="rId20" xr:uid="{A89A1E02-78A1-42F2-9DD3-0359FA59D846}"/>
    <hyperlink ref="F84" r:id="rId21" xr:uid="{7955DA96-D951-4DB1-9C69-770A7A5846DF}"/>
    <hyperlink ref="F138" r:id="rId22" xr:uid="{378A9F0A-2FF4-418D-A30B-953488AD6AEF}"/>
    <hyperlink ref="F139" r:id="rId23" xr:uid="{AE361ED0-0A2F-4EEC-8839-F1B1DFA6E3C0}"/>
    <hyperlink ref="F621" r:id="rId24" xr:uid="{A04F14F3-2768-4352-92F0-D47A9327082D}"/>
    <hyperlink ref="F622" r:id="rId25" xr:uid="{A9863AB9-08F7-488B-94B8-2F1084A32C04}"/>
    <hyperlink ref="F673" r:id="rId26" xr:uid="{5CFBB050-8F0B-4E57-B0C6-42A608B87C8C}"/>
    <hyperlink ref="F674" r:id="rId27" xr:uid="{4FA67790-F0B8-41B7-9A17-61DBA070FDE4}"/>
    <hyperlink ref="F708" r:id="rId28" xr:uid="{0C735E18-E3C6-408B-B8FC-858C1A0B8060}"/>
    <hyperlink ref="F709" r:id="rId29" xr:uid="{BCFFEC87-1DEB-4999-9B76-4BA0AD67AFD6}"/>
  </hyperlinks>
  <pageMargins left="0.7" right="0.7" top="0.75" bottom="0.75" header="0.3" footer="0.3"/>
  <tableParts count="1">
    <tablePart r:id="rId30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40EF2B-7929-41A4-81FD-C82B895025C9}">
          <x14:formula1>
            <xm:f>Markers!$B$2:$B$8</xm:f>
          </x14:formula1>
          <xm:sqref>G2:G750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2F60-E18C-4F65-A7AA-DBBD526332AA}">
  <dimension ref="A1:F16"/>
  <sheetViews>
    <sheetView workbookViewId="0">
      <selection activeCell="F17" sqref="F17"/>
    </sheetView>
  </sheetViews>
  <sheetFormatPr defaultRowHeight="14.4" x14ac:dyDescent="0.3"/>
  <cols>
    <col min="6" max="6" width="17.6640625" customWidth="1"/>
  </cols>
  <sheetData>
    <row r="1" spans="1:6" x14ac:dyDescent="0.3">
      <c r="A1" t="s">
        <v>1174</v>
      </c>
      <c r="B1" t="s">
        <v>0</v>
      </c>
      <c r="C1" t="s">
        <v>1282</v>
      </c>
      <c r="D1" t="s">
        <v>1283</v>
      </c>
      <c r="E1" t="s">
        <v>1284</v>
      </c>
      <c r="F1" t="s">
        <v>1392</v>
      </c>
    </row>
    <row r="2" spans="1:6" x14ac:dyDescent="0.3">
      <c r="A2">
        <f t="shared" ref="A2:A12" si="0">ROW()-1</f>
        <v>1</v>
      </c>
      <c r="B2" t="s">
        <v>5</v>
      </c>
      <c r="C2">
        <v>2358720</v>
      </c>
      <c r="D2" t="str">
        <f>"https://steamdb.info/app/"&amp;Table14[[#This Row],[game_id]]&amp;"/stats/"</f>
        <v>https://steamdb.info/app/2358720/stats/</v>
      </c>
      <c r="E2">
        <v>2024</v>
      </c>
      <c r="F2">
        <v>17.8</v>
      </c>
    </row>
    <row r="3" spans="1:6" x14ac:dyDescent="0.3">
      <c r="A3">
        <f t="shared" si="0"/>
        <v>2</v>
      </c>
      <c r="B3" t="s">
        <v>6</v>
      </c>
      <c r="C3">
        <v>1627720</v>
      </c>
      <c r="D3" t="str">
        <f>"https://steamdb.info/app/"&amp;Table14[[#This Row],[game_id]]&amp;"/stats/"</f>
        <v>https://steamdb.info/app/1627720/stats/</v>
      </c>
      <c r="E3">
        <v>2023</v>
      </c>
      <c r="F3">
        <v>2.5</v>
      </c>
    </row>
    <row r="4" spans="1:6" x14ac:dyDescent="0.3">
      <c r="A4">
        <f t="shared" si="0"/>
        <v>3</v>
      </c>
      <c r="B4" t="s">
        <v>7</v>
      </c>
      <c r="C4">
        <v>1245620</v>
      </c>
      <c r="D4" t="str">
        <f>"https://steamdb.info/app/"&amp;Table14[[#This Row],[game_id]]&amp;"/stats/"</f>
        <v>https://steamdb.info/app/1245620/stats/</v>
      </c>
      <c r="E4">
        <v>2022</v>
      </c>
      <c r="F4">
        <v>20.6</v>
      </c>
    </row>
    <row r="5" spans="1:6" x14ac:dyDescent="0.3">
      <c r="A5">
        <f t="shared" si="0"/>
        <v>4</v>
      </c>
      <c r="B5" t="s">
        <v>8</v>
      </c>
      <c r="C5">
        <v>814380</v>
      </c>
      <c r="D5" t="str">
        <f>"https://steamdb.info/app/"&amp;Table14[[#This Row],[game_id]]&amp;"/stats/"</f>
        <v>https://steamdb.info/app/814380/stats/</v>
      </c>
      <c r="E5">
        <v>2019</v>
      </c>
      <c r="F5">
        <v>6.2</v>
      </c>
    </row>
    <row r="6" spans="1:6" x14ac:dyDescent="0.3">
      <c r="A6">
        <f t="shared" si="0"/>
        <v>5</v>
      </c>
      <c r="B6" t="s">
        <v>9</v>
      </c>
      <c r="C6">
        <v>2622380</v>
      </c>
      <c r="D6" t="str">
        <f>"https://steamdb.info/app/"&amp;Table14[[#This Row],[game_id]]&amp;"/stats/"</f>
        <v>https://steamdb.info/app/2622380/stats/</v>
      </c>
      <c r="E6">
        <v>2025</v>
      </c>
      <c r="F6">
        <v>4.4000000000000004</v>
      </c>
    </row>
    <row r="7" spans="1:6" x14ac:dyDescent="0.3">
      <c r="A7">
        <f t="shared" si="0"/>
        <v>6</v>
      </c>
      <c r="B7" t="s">
        <v>10</v>
      </c>
      <c r="C7">
        <v>1030300</v>
      </c>
      <c r="D7" t="str">
        <f>"https://steamdb.info/app/"&amp;Table14[[#This Row],[game_id]]&amp;"/stats/"</f>
        <v>https://steamdb.info/app/1030300/stats/</v>
      </c>
      <c r="E7">
        <v>2017</v>
      </c>
      <c r="F7">
        <v>5.0999999999999996</v>
      </c>
    </row>
    <row r="8" spans="1:6" x14ac:dyDescent="0.3">
      <c r="A8">
        <f t="shared" si="0"/>
        <v>7</v>
      </c>
      <c r="B8" t="s">
        <v>11</v>
      </c>
      <c r="C8">
        <v>367520</v>
      </c>
      <c r="D8" t="str">
        <f>"https://steamdb.info/app/"&amp;Table14[[#This Row],[game_id]]&amp;"/stats/"</f>
        <v>https://steamdb.info/app/367520/stats/</v>
      </c>
      <c r="E8">
        <v>2025</v>
      </c>
      <c r="F8">
        <v>9</v>
      </c>
    </row>
    <row r="9" spans="1:6" x14ac:dyDescent="0.3">
      <c r="A9">
        <f t="shared" si="0"/>
        <v>8</v>
      </c>
      <c r="B9" t="s">
        <v>12</v>
      </c>
      <c r="C9">
        <v>2138710</v>
      </c>
      <c r="D9" t="str">
        <f>"https://steamdb.info/app/"&amp;Table14[[#This Row],[game_id]]&amp;"/stats/"</f>
        <v>https://steamdb.info/app/2138710/stats/</v>
      </c>
      <c r="E9">
        <v>2022</v>
      </c>
      <c r="F9">
        <v>1</v>
      </c>
    </row>
    <row r="10" spans="1:6" x14ac:dyDescent="0.3">
      <c r="A10">
        <f t="shared" si="0"/>
        <v>9</v>
      </c>
      <c r="B10" t="s">
        <v>13</v>
      </c>
      <c r="C10">
        <v>1145360</v>
      </c>
      <c r="D10" t="str">
        <f>"https://steamdb.info/app/"&amp;Table14[[#This Row],[game_id]]&amp;"/stats/"</f>
        <v>https://steamdb.info/app/1145360/stats/</v>
      </c>
      <c r="E10">
        <v>2020</v>
      </c>
      <c r="F10">
        <v>8.4</v>
      </c>
    </row>
    <row r="11" spans="1:6" x14ac:dyDescent="0.3">
      <c r="A11">
        <f t="shared" si="0"/>
        <v>10</v>
      </c>
      <c r="B11" t="s">
        <v>14</v>
      </c>
      <c r="C11">
        <v>1145350</v>
      </c>
      <c r="D11" t="str">
        <f>"https://steamdb.info/app/"&amp;Table14[[#This Row],[game_id]]&amp;"/stats/"</f>
        <v>https://steamdb.info/app/1145350/stats/</v>
      </c>
      <c r="E11">
        <v>2025</v>
      </c>
      <c r="F11">
        <v>3.5</v>
      </c>
    </row>
    <row r="12" spans="1:6" x14ac:dyDescent="0.3">
      <c r="A12">
        <f t="shared" si="0"/>
        <v>11</v>
      </c>
      <c r="B12" t="s">
        <v>1059</v>
      </c>
      <c r="C12">
        <v>1903340</v>
      </c>
      <c r="D12" t="str">
        <f>"https://steamdb.info/app/"&amp;Table14[[#This Row],[game_id]]&amp;"/stats/"</f>
        <v>https://steamdb.info/app/1903340/stats/</v>
      </c>
      <c r="E12">
        <v>2025</v>
      </c>
      <c r="F12">
        <v>4.7</v>
      </c>
    </row>
    <row r="13" spans="1:6" x14ac:dyDescent="0.3">
      <c r="A13">
        <f>ROW()-1</f>
        <v>12</v>
      </c>
      <c r="B13" t="s">
        <v>1181</v>
      </c>
      <c r="C13">
        <v>268910</v>
      </c>
      <c r="D13" t="str">
        <f>"https://steamdb.info/app/"&amp;Table14[[#This Row],[game_id]]&amp;"/stats/"</f>
        <v>https://steamdb.info/app/268910/stats/</v>
      </c>
      <c r="E13">
        <v>2017</v>
      </c>
      <c r="F13">
        <v>6</v>
      </c>
    </row>
    <row r="14" spans="1:6" x14ac:dyDescent="0.3">
      <c r="A14">
        <f>ROW()-1</f>
        <v>13</v>
      </c>
      <c r="B14" t="s">
        <v>1286</v>
      </c>
      <c r="C14">
        <v>2638890</v>
      </c>
      <c r="D14" t="str">
        <f>"https://steamdb.info/app/"&amp;Table14[[#This Row],[game_id]]&amp;"/stats/"</f>
        <v>https://steamdb.info/app/2638890/stats/</v>
      </c>
      <c r="E14">
        <v>2026</v>
      </c>
      <c r="F14">
        <v>0.56000000000000005</v>
      </c>
    </row>
    <row r="15" spans="1:6" x14ac:dyDescent="0.3">
      <c r="A15">
        <f>ROW()-1</f>
        <v>14</v>
      </c>
      <c r="B15" t="s">
        <v>1393</v>
      </c>
      <c r="C15">
        <v>1809540</v>
      </c>
      <c r="D15" t="str">
        <f>"https://steamdb.info/app/"&amp;Table14[[#This Row],[game_id]]&amp;"/stats/"</f>
        <v>https://steamdb.info/app/1809540/stats/</v>
      </c>
      <c r="E15">
        <v>2024</v>
      </c>
      <c r="F15">
        <v>1</v>
      </c>
    </row>
    <row r="16" spans="1:6" x14ac:dyDescent="0.3">
      <c r="A16">
        <f>ROW()-1</f>
        <v>15</v>
      </c>
      <c r="B16" t="s">
        <v>1466</v>
      </c>
      <c r="C16">
        <v>374320</v>
      </c>
      <c r="D16" s="11" t="str">
        <f>"https://steamdb.info/app/"&amp;Table14[[#This Row],[game_id]]&amp;"/stats/"</f>
        <v>https://steamdb.info/app/374320/stats/</v>
      </c>
      <c r="E16">
        <v>2016</v>
      </c>
      <c r="F16">
        <v>9.5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C793-D147-4F01-86EF-0F1C2983A78D}">
  <dimension ref="A1:C8"/>
  <sheetViews>
    <sheetView workbookViewId="0">
      <selection activeCell="B2" sqref="B2:B8"/>
    </sheetView>
  </sheetViews>
  <sheetFormatPr defaultRowHeight="14.4" x14ac:dyDescent="0.3"/>
  <cols>
    <col min="3" max="3" width="12.109375" customWidth="1"/>
  </cols>
  <sheetData>
    <row r="1" spans="1:3" x14ac:dyDescent="0.3">
      <c r="A1" t="s">
        <v>1174</v>
      </c>
      <c r="B1" t="s">
        <v>1173</v>
      </c>
      <c r="C1" t="s">
        <v>2</v>
      </c>
    </row>
    <row r="2" spans="1:3" x14ac:dyDescent="0.3">
      <c r="A2">
        <v>1</v>
      </c>
      <c r="B2" t="s">
        <v>1272</v>
      </c>
      <c r="C2" t="s">
        <v>1279</v>
      </c>
    </row>
    <row r="3" spans="1:3" x14ac:dyDescent="0.3">
      <c r="A3">
        <v>2</v>
      </c>
      <c r="B3" t="s">
        <v>1273</v>
      </c>
      <c r="C3" t="s">
        <v>1175</v>
      </c>
    </row>
    <row r="4" spans="1:3" x14ac:dyDescent="0.3">
      <c r="A4">
        <v>3</v>
      </c>
      <c r="B4" t="s">
        <v>1274</v>
      </c>
      <c r="C4" t="s">
        <v>1280</v>
      </c>
    </row>
    <row r="5" spans="1:3" x14ac:dyDescent="0.3">
      <c r="A5">
        <v>4</v>
      </c>
      <c r="B5" t="s">
        <v>1275</v>
      </c>
      <c r="C5" t="s">
        <v>1281</v>
      </c>
    </row>
    <row r="6" spans="1:3" x14ac:dyDescent="0.3">
      <c r="A6">
        <v>5</v>
      </c>
      <c r="B6" t="s">
        <v>1276</v>
      </c>
      <c r="C6" t="s">
        <v>1176</v>
      </c>
    </row>
    <row r="7" spans="1:3" x14ac:dyDescent="0.3">
      <c r="A7">
        <v>6</v>
      </c>
      <c r="B7" t="s">
        <v>1277</v>
      </c>
      <c r="C7" t="s">
        <v>1180</v>
      </c>
    </row>
    <row r="8" spans="1:3" x14ac:dyDescent="0.3">
      <c r="A8">
        <v>7</v>
      </c>
      <c r="B8" t="s">
        <v>1278</v>
      </c>
      <c r="C8" t="s">
        <v>1177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Data</vt:lpstr>
      <vt:lpstr>Games</vt:lpstr>
      <vt:lpstr>Markers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CJ  Conti</cp:lastModifiedBy>
  <dcterms:created xsi:type="dcterms:W3CDTF">2026-08-19T14:19:28Z</dcterms:created>
  <dcterms:modified xsi:type="dcterms:W3CDTF">2026-09-14T16:15:19Z</dcterms:modified>
</cp:coreProperties>
</file>